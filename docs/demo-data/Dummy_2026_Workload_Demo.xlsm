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2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00109087_uwa_edu_au/Documents/Desktop/"/>
    </mc:Choice>
  </mc:AlternateContent>
  <xr:revisionPtr revIDLastSave="71" documentId="8_{15283070-738A-43E4-B48A-2DC429C83CFA}" xr6:coauthVersionLast="47" xr6:coauthVersionMax="47" xr10:uidLastSave="{0112EC05-1E61-4926-9E2A-40376316A071}"/>
  <bookViews>
    <workbookView xWindow="-120" yWindow="-120" windowWidth="29040" windowHeight="17520" firstSheet="1" activeTab="1" xr2:uid="{00000000-000D-0000-FFFF-FFFF00000000}"/>
  </bookViews>
  <sheets>
    <sheet name="Report - Staff" sheetId="4" r:id="rId1"/>
    <sheet name="Report - Staff Member" sheetId="11" r:id="rId2"/>
    <sheet name="Report - Units" sheetId="5" r:id="rId3"/>
    <sheet name="Report - Enrolment" sheetId="10" r:id="rId4"/>
    <sheet name="Report - UWA" sheetId="13" r:id="rId5"/>
    <sheet name="Data Entry - Teaching" sheetId="2" r:id="rId6"/>
    <sheet name="Data Entry - HDR" sheetId="12" r:id="rId7"/>
    <sheet name="Data Entry - Assigned Role" sheetId="6" r:id="rId8"/>
    <sheet name="Source Information - Units" sheetId="9" r:id="rId9"/>
    <sheet name="Source Information - Staff" sheetId="3" r:id="rId10"/>
    <sheet name="Source Information - Roles" sheetId="8" r:id="rId11"/>
  </sheets>
  <externalReferences>
    <externalReference r:id="rId12"/>
  </externalReferences>
  <definedNames>
    <definedName name="_xlnm._FilterDatabase" localSheetId="7" hidden="1">'Data Entry - Assigned Role'!$A$2:$P$132</definedName>
    <definedName name="_xlnm._FilterDatabase" localSheetId="6" hidden="1">'Data Entry - HDR'!$A$3:$G$33</definedName>
    <definedName name="_xlnm._FilterDatabase" localSheetId="5" hidden="1">'Data Entry - Teaching'!$A$2:$BQ$67</definedName>
    <definedName name="_xlnm._FilterDatabase" localSheetId="0" hidden="1">'Report - Staff'!$A$2:$M$2</definedName>
    <definedName name="_xlnm._FilterDatabase" localSheetId="10" hidden="1">'Source Information - Roles'!$C$1:$E$1</definedName>
    <definedName name="_xlnm._FilterDatabase" localSheetId="9" hidden="1">'Source Information - Staff'!$D$1:$K$7</definedName>
    <definedName name="_xlnm._FilterDatabase" localSheetId="8" hidden="1">'Source Information - Units'!$B$1:$E$259</definedName>
    <definedName name="Unit_Code" localSheetId="1">[1]!Unit_Code_Filter[Unit Code Data Filter]</definedName>
    <definedName name="Unit_Code">#REF!</definedName>
  </definedNames>
  <calcPr calcId="191028"/>
  <pivotCaches>
    <pivotCache cacheId="18" r:id="rId13"/>
    <pivotCache cacheId="59" r:id="rId14"/>
    <pivotCache cacheId="95" r:id="rId15"/>
    <pivotCache cacheId="132" r:id="rId16"/>
    <pivotCache cacheId="153" r:id="rId17"/>
    <pivotCache cacheId="169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9" i="9" l="1"/>
  <c r="E258" i="9"/>
  <c r="E257" i="9"/>
  <c r="E256" i="9"/>
  <c r="E255" i="9"/>
  <c r="F3" i="6"/>
  <c r="F6" i="6"/>
  <c r="D34" i="8"/>
  <c r="D113" i="6"/>
  <c r="D114" i="6"/>
  <c r="D115" i="6"/>
  <c r="D116" i="6"/>
  <c r="D117" i="6"/>
  <c r="D118" i="6"/>
  <c r="D119" i="6"/>
  <c r="C24" i="3"/>
  <c r="F112" i="6" l="1"/>
  <c r="H112" i="6"/>
  <c r="J112" i="6"/>
  <c r="L112" i="6"/>
  <c r="N112" i="6"/>
  <c r="P112" i="6"/>
  <c r="F110" i="6"/>
  <c r="H110" i="6"/>
  <c r="J110" i="6"/>
  <c r="L110" i="6"/>
  <c r="N110" i="6"/>
  <c r="P110" i="6"/>
  <c r="F111" i="6"/>
  <c r="H111" i="6"/>
  <c r="J111" i="6"/>
  <c r="L111" i="6"/>
  <c r="N111" i="6"/>
  <c r="P111" i="6"/>
  <c r="BM4" i="2"/>
  <c r="BN4" i="2" s="1"/>
  <c r="BM5" i="2"/>
  <c r="BN5" i="2" s="1"/>
  <c r="BM6" i="2"/>
  <c r="BN6" i="2" s="1"/>
  <c r="BM7" i="2"/>
  <c r="BN7" i="2" s="1"/>
  <c r="BM8" i="2"/>
  <c r="BN8" i="2" s="1"/>
  <c r="BM9" i="2"/>
  <c r="BN9" i="2" s="1"/>
  <c r="BM10" i="2"/>
  <c r="BN10" i="2" s="1"/>
  <c r="BM11" i="2"/>
  <c r="BN11" i="2" s="1"/>
  <c r="BM12" i="2"/>
  <c r="BN12" i="2" s="1"/>
  <c r="BM13" i="2"/>
  <c r="BN13" i="2" s="1"/>
  <c r="BM14" i="2"/>
  <c r="BN14" i="2" s="1"/>
  <c r="BM15" i="2"/>
  <c r="BN15" i="2" s="1"/>
  <c r="BM16" i="2"/>
  <c r="BN16" i="2" s="1"/>
  <c r="BM17" i="2"/>
  <c r="BN17" i="2" s="1"/>
  <c r="BM18" i="2"/>
  <c r="BN18" i="2" s="1"/>
  <c r="BM19" i="2"/>
  <c r="BN19" i="2" s="1"/>
  <c r="BM20" i="2"/>
  <c r="BN20" i="2" s="1"/>
  <c r="BM21" i="2"/>
  <c r="BN21" i="2" s="1"/>
  <c r="BM22" i="2"/>
  <c r="BN22" i="2" s="1"/>
  <c r="BM23" i="2"/>
  <c r="BN23" i="2" s="1"/>
  <c r="BM24" i="2"/>
  <c r="BN24" i="2" s="1"/>
  <c r="BM25" i="2"/>
  <c r="BN25" i="2" s="1"/>
  <c r="BM26" i="2"/>
  <c r="BN26" i="2" s="1"/>
  <c r="BM27" i="2"/>
  <c r="BN27" i="2" s="1"/>
  <c r="BM28" i="2"/>
  <c r="BN28" i="2" s="1"/>
  <c r="BM29" i="2"/>
  <c r="BN29" i="2" s="1"/>
  <c r="BM30" i="2"/>
  <c r="BN30" i="2" s="1"/>
  <c r="BM31" i="2"/>
  <c r="BN31" i="2" s="1"/>
  <c r="BM32" i="2"/>
  <c r="BN32" i="2" s="1"/>
  <c r="BM33" i="2"/>
  <c r="BN33" i="2" s="1"/>
  <c r="BM34" i="2"/>
  <c r="BN34" i="2" s="1"/>
  <c r="BM35" i="2"/>
  <c r="BN35" i="2" s="1"/>
  <c r="BM36" i="2"/>
  <c r="BN36" i="2" s="1"/>
  <c r="BM37" i="2"/>
  <c r="BN37" i="2" s="1"/>
  <c r="BM38" i="2"/>
  <c r="BN38" i="2" s="1"/>
  <c r="BM39" i="2"/>
  <c r="BN39" i="2" s="1"/>
  <c r="BM40" i="2"/>
  <c r="BN40" i="2" s="1"/>
  <c r="BM41" i="2"/>
  <c r="BN41" i="2" s="1"/>
  <c r="BM42" i="2"/>
  <c r="BN42" i="2" s="1"/>
  <c r="BM43" i="2"/>
  <c r="BN43" i="2" s="1"/>
  <c r="BM44" i="2"/>
  <c r="BN44" i="2" s="1"/>
  <c r="BM45" i="2"/>
  <c r="BN45" i="2" s="1"/>
  <c r="BM46" i="2"/>
  <c r="BN46" i="2" s="1"/>
  <c r="BM47" i="2"/>
  <c r="BN47" i="2" s="1"/>
  <c r="BM48" i="2"/>
  <c r="BN48" i="2" s="1"/>
  <c r="BM49" i="2"/>
  <c r="BN49" i="2" s="1"/>
  <c r="BM50" i="2"/>
  <c r="BN50" i="2" s="1"/>
  <c r="BM51" i="2"/>
  <c r="BN51" i="2" s="1"/>
  <c r="BM52" i="2"/>
  <c r="BN52" i="2" s="1"/>
  <c r="BM53" i="2"/>
  <c r="BN53" i="2" s="1"/>
  <c r="BM54" i="2"/>
  <c r="BN54" i="2" s="1"/>
  <c r="BM55" i="2"/>
  <c r="BN55" i="2" s="1"/>
  <c r="BM56" i="2"/>
  <c r="BN56" i="2" s="1"/>
  <c r="BM57" i="2"/>
  <c r="BN57" i="2" s="1"/>
  <c r="BM58" i="2"/>
  <c r="BN58" i="2" s="1"/>
  <c r="BM59" i="2"/>
  <c r="BN59" i="2" s="1"/>
  <c r="BM60" i="2"/>
  <c r="BN60" i="2" s="1"/>
  <c r="BM61" i="2"/>
  <c r="BN61" i="2" s="1"/>
  <c r="BM62" i="2"/>
  <c r="BN62" i="2" s="1"/>
  <c r="BM63" i="2"/>
  <c r="BN63" i="2" s="1"/>
  <c r="BM64" i="2"/>
  <c r="BN64" i="2" s="1"/>
  <c r="BM65" i="2"/>
  <c r="BN65" i="2" s="1"/>
  <c r="BM66" i="2"/>
  <c r="BN66" i="2" s="1"/>
  <c r="BM67" i="2"/>
  <c r="BN67" i="2" s="1"/>
  <c r="BM3" i="2"/>
  <c r="BN3" i="2" s="1"/>
  <c r="D112" i="6" l="1"/>
  <c r="D110" i="6"/>
  <c r="D111" i="6"/>
  <c r="P106" i="6"/>
  <c r="P107" i="6"/>
  <c r="P108" i="6"/>
  <c r="P109" i="6"/>
  <c r="N106" i="6"/>
  <c r="N107" i="6"/>
  <c r="N108" i="6"/>
  <c r="N109" i="6"/>
  <c r="L106" i="6"/>
  <c r="L107" i="6"/>
  <c r="L108" i="6"/>
  <c r="L109" i="6"/>
  <c r="J106" i="6"/>
  <c r="J107" i="6"/>
  <c r="J108" i="6"/>
  <c r="J109" i="6"/>
  <c r="H106" i="6"/>
  <c r="H107" i="6"/>
  <c r="H108" i="6"/>
  <c r="H109" i="6"/>
  <c r="F106" i="6"/>
  <c r="F107" i="6"/>
  <c r="F108" i="6"/>
  <c r="F109" i="6"/>
  <c r="D108" i="6" l="1"/>
  <c r="D109" i="6"/>
  <c r="D107" i="6"/>
  <c r="D106" i="6"/>
  <c r="E249" i="9" l="1"/>
  <c r="E250" i="9"/>
  <c r="E251" i="9"/>
  <c r="E252" i="9"/>
  <c r="E253" i="9"/>
  <c r="E254" i="9"/>
  <c r="F103" i="6" l="1"/>
  <c r="H103" i="6"/>
  <c r="J103" i="6"/>
  <c r="L103" i="6"/>
  <c r="N103" i="6"/>
  <c r="P103" i="6"/>
  <c r="F104" i="6"/>
  <c r="H104" i="6"/>
  <c r="J104" i="6"/>
  <c r="L104" i="6"/>
  <c r="N104" i="6"/>
  <c r="P104" i="6"/>
  <c r="F105" i="6"/>
  <c r="H105" i="6"/>
  <c r="J105" i="6"/>
  <c r="L105" i="6"/>
  <c r="N105" i="6"/>
  <c r="P105" i="6"/>
  <c r="D105" i="6" l="1"/>
  <c r="D104" i="6"/>
  <c r="D103" i="6"/>
  <c r="F4" i="6" l="1"/>
  <c r="F5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H41" i="6" l="1"/>
  <c r="J41" i="6"/>
  <c r="L41" i="6"/>
  <c r="N41" i="6"/>
  <c r="P41" i="6"/>
  <c r="E248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J13" i="3"/>
  <c r="J14" i="3"/>
  <c r="K14" i="3" s="1"/>
  <c r="J15" i="3"/>
  <c r="K15" i="3" s="1"/>
  <c r="J16" i="3"/>
  <c r="K16" i="3" s="1"/>
  <c r="J17" i="3"/>
  <c r="K17" i="3" s="1"/>
  <c r="J18" i="3"/>
  <c r="J19" i="3"/>
  <c r="K19" i="3" s="1"/>
  <c r="J20" i="3"/>
  <c r="J21" i="3"/>
  <c r="J22" i="3"/>
  <c r="J23" i="3"/>
  <c r="K13" i="3"/>
  <c r="K18" i="3"/>
  <c r="K20" i="3"/>
  <c r="K21" i="3"/>
  <c r="K22" i="3"/>
  <c r="K23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H4" i="6"/>
  <c r="J4" i="6"/>
  <c r="L4" i="6"/>
  <c r="N4" i="6"/>
  <c r="P4" i="6"/>
  <c r="H5" i="6"/>
  <c r="J5" i="6"/>
  <c r="L5" i="6"/>
  <c r="N5" i="6"/>
  <c r="P5" i="6"/>
  <c r="H6" i="6"/>
  <c r="J6" i="6"/>
  <c r="L6" i="6"/>
  <c r="N6" i="6"/>
  <c r="P6" i="6"/>
  <c r="H7" i="6"/>
  <c r="J7" i="6"/>
  <c r="L7" i="6"/>
  <c r="N7" i="6"/>
  <c r="P7" i="6"/>
  <c r="H8" i="6"/>
  <c r="J8" i="6"/>
  <c r="L8" i="6"/>
  <c r="N8" i="6"/>
  <c r="P8" i="6"/>
  <c r="H9" i="6"/>
  <c r="J9" i="6"/>
  <c r="L9" i="6"/>
  <c r="N9" i="6"/>
  <c r="P9" i="6"/>
  <c r="H10" i="6"/>
  <c r="J10" i="6"/>
  <c r="L10" i="6"/>
  <c r="N10" i="6"/>
  <c r="P10" i="6"/>
  <c r="H11" i="6"/>
  <c r="J11" i="6"/>
  <c r="L11" i="6"/>
  <c r="N11" i="6"/>
  <c r="P11" i="6"/>
  <c r="H12" i="6"/>
  <c r="J12" i="6"/>
  <c r="L12" i="6"/>
  <c r="N12" i="6"/>
  <c r="P12" i="6"/>
  <c r="H13" i="6"/>
  <c r="J13" i="6"/>
  <c r="L13" i="6"/>
  <c r="N13" i="6"/>
  <c r="P13" i="6"/>
  <c r="H14" i="6"/>
  <c r="J14" i="6"/>
  <c r="L14" i="6"/>
  <c r="N14" i="6"/>
  <c r="P14" i="6"/>
  <c r="H15" i="6"/>
  <c r="J15" i="6"/>
  <c r="L15" i="6"/>
  <c r="N15" i="6"/>
  <c r="P15" i="6"/>
  <c r="H16" i="6"/>
  <c r="J16" i="6"/>
  <c r="L16" i="6"/>
  <c r="N16" i="6"/>
  <c r="P16" i="6"/>
  <c r="H17" i="6"/>
  <c r="J17" i="6"/>
  <c r="L17" i="6"/>
  <c r="N17" i="6"/>
  <c r="P17" i="6"/>
  <c r="H18" i="6"/>
  <c r="J18" i="6"/>
  <c r="L18" i="6"/>
  <c r="N18" i="6"/>
  <c r="P18" i="6"/>
  <c r="H19" i="6"/>
  <c r="J19" i="6"/>
  <c r="L19" i="6"/>
  <c r="N19" i="6"/>
  <c r="P19" i="6"/>
  <c r="H20" i="6"/>
  <c r="J20" i="6"/>
  <c r="L20" i="6"/>
  <c r="N20" i="6"/>
  <c r="P20" i="6"/>
  <c r="H21" i="6"/>
  <c r="J21" i="6"/>
  <c r="L21" i="6"/>
  <c r="N21" i="6"/>
  <c r="P21" i="6"/>
  <c r="H22" i="6"/>
  <c r="J22" i="6"/>
  <c r="L22" i="6"/>
  <c r="N22" i="6"/>
  <c r="P22" i="6"/>
  <c r="H23" i="6"/>
  <c r="J23" i="6"/>
  <c r="L23" i="6"/>
  <c r="N23" i="6"/>
  <c r="P23" i="6"/>
  <c r="H24" i="6"/>
  <c r="J24" i="6"/>
  <c r="L24" i="6"/>
  <c r="N24" i="6"/>
  <c r="P24" i="6"/>
  <c r="H25" i="6"/>
  <c r="J25" i="6"/>
  <c r="L25" i="6"/>
  <c r="N25" i="6"/>
  <c r="P25" i="6"/>
  <c r="H26" i="6"/>
  <c r="J26" i="6"/>
  <c r="L26" i="6"/>
  <c r="N26" i="6"/>
  <c r="P26" i="6"/>
  <c r="H27" i="6"/>
  <c r="J27" i="6"/>
  <c r="L27" i="6"/>
  <c r="N27" i="6"/>
  <c r="P27" i="6"/>
  <c r="H28" i="6"/>
  <c r="J28" i="6"/>
  <c r="L28" i="6"/>
  <c r="N28" i="6"/>
  <c r="P28" i="6"/>
  <c r="H29" i="6"/>
  <c r="J29" i="6"/>
  <c r="L29" i="6"/>
  <c r="N29" i="6"/>
  <c r="P29" i="6"/>
  <c r="H30" i="6"/>
  <c r="J30" i="6"/>
  <c r="L30" i="6"/>
  <c r="N30" i="6"/>
  <c r="P30" i="6"/>
  <c r="H31" i="6"/>
  <c r="J31" i="6"/>
  <c r="L31" i="6"/>
  <c r="N31" i="6"/>
  <c r="P31" i="6"/>
  <c r="H32" i="6"/>
  <c r="J32" i="6"/>
  <c r="L32" i="6"/>
  <c r="N32" i="6"/>
  <c r="P32" i="6"/>
  <c r="H33" i="6"/>
  <c r="J33" i="6"/>
  <c r="L33" i="6"/>
  <c r="N33" i="6"/>
  <c r="P33" i="6"/>
  <c r="H34" i="6"/>
  <c r="J34" i="6"/>
  <c r="L34" i="6"/>
  <c r="N34" i="6"/>
  <c r="P34" i="6"/>
  <c r="H35" i="6"/>
  <c r="J35" i="6"/>
  <c r="L35" i="6"/>
  <c r="N35" i="6"/>
  <c r="P35" i="6"/>
  <c r="H36" i="6"/>
  <c r="J36" i="6"/>
  <c r="L36" i="6"/>
  <c r="N36" i="6"/>
  <c r="P36" i="6"/>
  <c r="H37" i="6"/>
  <c r="J37" i="6"/>
  <c r="L37" i="6"/>
  <c r="N37" i="6"/>
  <c r="P37" i="6"/>
  <c r="H38" i="6"/>
  <c r="J38" i="6"/>
  <c r="L38" i="6"/>
  <c r="N38" i="6"/>
  <c r="P38" i="6"/>
  <c r="H39" i="6"/>
  <c r="J39" i="6"/>
  <c r="L39" i="6"/>
  <c r="N39" i="6"/>
  <c r="P39" i="6"/>
  <c r="H40" i="6"/>
  <c r="J40" i="6"/>
  <c r="L40" i="6"/>
  <c r="N40" i="6"/>
  <c r="P40" i="6"/>
  <c r="H42" i="6"/>
  <c r="J42" i="6"/>
  <c r="L42" i="6"/>
  <c r="N42" i="6"/>
  <c r="P42" i="6"/>
  <c r="H43" i="6"/>
  <c r="J43" i="6"/>
  <c r="L43" i="6"/>
  <c r="N43" i="6"/>
  <c r="P43" i="6"/>
  <c r="H44" i="6"/>
  <c r="J44" i="6"/>
  <c r="L44" i="6"/>
  <c r="N44" i="6"/>
  <c r="P44" i="6"/>
  <c r="H45" i="6"/>
  <c r="J45" i="6"/>
  <c r="L45" i="6"/>
  <c r="N45" i="6"/>
  <c r="P45" i="6"/>
  <c r="H46" i="6"/>
  <c r="J46" i="6"/>
  <c r="L46" i="6"/>
  <c r="N46" i="6"/>
  <c r="P46" i="6"/>
  <c r="H47" i="6"/>
  <c r="J47" i="6"/>
  <c r="L47" i="6"/>
  <c r="N47" i="6"/>
  <c r="P47" i="6"/>
  <c r="H48" i="6"/>
  <c r="J48" i="6"/>
  <c r="L48" i="6"/>
  <c r="N48" i="6"/>
  <c r="P48" i="6"/>
  <c r="H49" i="6"/>
  <c r="J49" i="6"/>
  <c r="L49" i="6"/>
  <c r="N49" i="6"/>
  <c r="P49" i="6"/>
  <c r="H50" i="6"/>
  <c r="J50" i="6"/>
  <c r="L50" i="6"/>
  <c r="N50" i="6"/>
  <c r="P50" i="6"/>
  <c r="H51" i="6"/>
  <c r="J51" i="6"/>
  <c r="L51" i="6"/>
  <c r="N51" i="6"/>
  <c r="P51" i="6"/>
  <c r="H52" i="6"/>
  <c r="J52" i="6"/>
  <c r="L52" i="6"/>
  <c r="N52" i="6"/>
  <c r="P52" i="6"/>
  <c r="H53" i="6"/>
  <c r="J53" i="6"/>
  <c r="L53" i="6"/>
  <c r="N53" i="6"/>
  <c r="P53" i="6"/>
  <c r="H54" i="6"/>
  <c r="J54" i="6"/>
  <c r="L54" i="6"/>
  <c r="N54" i="6"/>
  <c r="P54" i="6"/>
  <c r="H55" i="6"/>
  <c r="J55" i="6"/>
  <c r="L55" i="6"/>
  <c r="N55" i="6"/>
  <c r="P55" i="6"/>
  <c r="H56" i="6"/>
  <c r="J56" i="6"/>
  <c r="L56" i="6"/>
  <c r="N56" i="6"/>
  <c r="P56" i="6"/>
  <c r="H57" i="6"/>
  <c r="J57" i="6"/>
  <c r="L57" i="6"/>
  <c r="N57" i="6"/>
  <c r="P57" i="6"/>
  <c r="H58" i="6"/>
  <c r="J58" i="6"/>
  <c r="L58" i="6"/>
  <c r="N58" i="6"/>
  <c r="P58" i="6"/>
  <c r="H59" i="6"/>
  <c r="J59" i="6"/>
  <c r="L59" i="6"/>
  <c r="N59" i="6"/>
  <c r="P59" i="6"/>
  <c r="H60" i="6"/>
  <c r="J60" i="6"/>
  <c r="L60" i="6"/>
  <c r="N60" i="6"/>
  <c r="P60" i="6"/>
  <c r="H61" i="6"/>
  <c r="J61" i="6"/>
  <c r="L61" i="6"/>
  <c r="N61" i="6"/>
  <c r="P61" i="6"/>
  <c r="H62" i="6"/>
  <c r="J62" i="6"/>
  <c r="L62" i="6"/>
  <c r="N62" i="6"/>
  <c r="P62" i="6"/>
  <c r="H63" i="6"/>
  <c r="J63" i="6"/>
  <c r="L63" i="6"/>
  <c r="N63" i="6"/>
  <c r="P63" i="6"/>
  <c r="H64" i="6"/>
  <c r="J64" i="6"/>
  <c r="L64" i="6"/>
  <c r="N64" i="6"/>
  <c r="P64" i="6"/>
  <c r="H65" i="6"/>
  <c r="J65" i="6"/>
  <c r="L65" i="6"/>
  <c r="N65" i="6"/>
  <c r="P65" i="6"/>
  <c r="H66" i="6"/>
  <c r="J66" i="6"/>
  <c r="L66" i="6"/>
  <c r="N66" i="6"/>
  <c r="P66" i="6"/>
  <c r="H67" i="6"/>
  <c r="J67" i="6"/>
  <c r="L67" i="6"/>
  <c r="N67" i="6"/>
  <c r="P67" i="6"/>
  <c r="H68" i="6"/>
  <c r="J68" i="6"/>
  <c r="L68" i="6"/>
  <c r="N68" i="6"/>
  <c r="P68" i="6"/>
  <c r="H69" i="6"/>
  <c r="J69" i="6"/>
  <c r="L69" i="6"/>
  <c r="N69" i="6"/>
  <c r="P69" i="6"/>
  <c r="H70" i="6"/>
  <c r="J70" i="6"/>
  <c r="L70" i="6"/>
  <c r="N70" i="6"/>
  <c r="P70" i="6"/>
  <c r="H71" i="6"/>
  <c r="J71" i="6"/>
  <c r="L71" i="6"/>
  <c r="N71" i="6"/>
  <c r="P71" i="6"/>
  <c r="H72" i="6"/>
  <c r="J72" i="6"/>
  <c r="L72" i="6"/>
  <c r="N72" i="6"/>
  <c r="P72" i="6"/>
  <c r="H73" i="6"/>
  <c r="J73" i="6"/>
  <c r="L73" i="6"/>
  <c r="N73" i="6"/>
  <c r="P73" i="6"/>
  <c r="H74" i="6"/>
  <c r="J74" i="6"/>
  <c r="L74" i="6"/>
  <c r="N74" i="6"/>
  <c r="P74" i="6"/>
  <c r="H75" i="6"/>
  <c r="J75" i="6"/>
  <c r="L75" i="6"/>
  <c r="N75" i="6"/>
  <c r="P75" i="6"/>
  <c r="H76" i="6"/>
  <c r="J76" i="6"/>
  <c r="L76" i="6"/>
  <c r="N76" i="6"/>
  <c r="P76" i="6"/>
  <c r="H77" i="6"/>
  <c r="J77" i="6"/>
  <c r="L77" i="6"/>
  <c r="N77" i="6"/>
  <c r="P77" i="6"/>
  <c r="H78" i="6"/>
  <c r="J78" i="6"/>
  <c r="L78" i="6"/>
  <c r="N78" i="6"/>
  <c r="P78" i="6"/>
  <c r="H79" i="6"/>
  <c r="J79" i="6"/>
  <c r="L79" i="6"/>
  <c r="N79" i="6"/>
  <c r="P79" i="6"/>
  <c r="H80" i="6"/>
  <c r="J80" i="6"/>
  <c r="L80" i="6"/>
  <c r="N80" i="6"/>
  <c r="P80" i="6"/>
  <c r="H81" i="6"/>
  <c r="J81" i="6"/>
  <c r="L81" i="6"/>
  <c r="N81" i="6"/>
  <c r="P81" i="6"/>
  <c r="H82" i="6"/>
  <c r="J82" i="6"/>
  <c r="L82" i="6"/>
  <c r="N82" i="6"/>
  <c r="P82" i="6"/>
  <c r="H83" i="6"/>
  <c r="J83" i="6"/>
  <c r="L83" i="6"/>
  <c r="N83" i="6"/>
  <c r="P83" i="6"/>
  <c r="H84" i="6"/>
  <c r="J84" i="6"/>
  <c r="L84" i="6"/>
  <c r="N84" i="6"/>
  <c r="P84" i="6"/>
  <c r="H85" i="6"/>
  <c r="J85" i="6"/>
  <c r="L85" i="6"/>
  <c r="N85" i="6"/>
  <c r="P85" i="6"/>
  <c r="H86" i="6"/>
  <c r="J86" i="6"/>
  <c r="L86" i="6"/>
  <c r="N86" i="6"/>
  <c r="P86" i="6"/>
  <c r="H87" i="6"/>
  <c r="J87" i="6"/>
  <c r="L87" i="6"/>
  <c r="N87" i="6"/>
  <c r="P87" i="6"/>
  <c r="H88" i="6"/>
  <c r="J88" i="6"/>
  <c r="L88" i="6"/>
  <c r="N88" i="6"/>
  <c r="P88" i="6"/>
  <c r="H89" i="6"/>
  <c r="J89" i="6"/>
  <c r="L89" i="6"/>
  <c r="N89" i="6"/>
  <c r="P89" i="6"/>
  <c r="H90" i="6"/>
  <c r="J90" i="6"/>
  <c r="L90" i="6"/>
  <c r="N90" i="6"/>
  <c r="P90" i="6"/>
  <c r="H91" i="6"/>
  <c r="J91" i="6"/>
  <c r="L91" i="6"/>
  <c r="N91" i="6"/>
  <c r="P91" i="6"/>
  <c r="H92" i="6"/>
  <c r="J92" i="6"/>
  <c r="L92" i="6"/>
  <c r="N92" i="6"/>
  <c r="P92" i="6"/>
  <c r="H93" i="6"/>
  <c r="J93" i="6"/>
  <c r="L93" i="6"/>
  <c r="N93" i="6"/>
  <c r="P93" i="6"/>
  <c r="H94" i="6"/>
  <c r="J94" i="6"/>
  <c r="L94" i="6"/>
  <c r="N94" i="6"/>
  <c r="P94" i="6"/>
  <c r="H95" i="6"/>
  <c r="J95" i="6"/>
  <c r="L95" i="6"/>
  <c r="N95" i="6"/>
  <c r="P95" i="6"/>
  <c r="H96" i="6"/>
  <c r="J96" i="6"/>
  <c r="L96" i="6"/>
  <c r="N96" i="6"/>
  <c r="P96" i="6"/>
  <c r="H97" i="6"/>
  <c r="J97" i="6"/>
  <c r="L97" i="6"/>
  <c r="N97" i="6"/>
  <c r="P97" i="6"/>
  <c r="H98" i="6"/>
  <c r="J98" i="6"/>
  <c r="L98" i="6"/>
  <c r="N98" i="6"/>
  <c r="P98" i="6"/>
  <c r="H99" i="6"/>
  <c r="J99" i="6"/>
  <c r="L99" i="6"/>
  <c r="N99" i="6"/>
  <c r="P99" i="6"/>
  <c r="H100" i="6"/>
  <c r="J100" i="6"/>
  <c r="L100" i="6"/>
  <c r="N100" i="6"/>
  <c r="P100" i="6"/>
  <c r="H101" i="6"/>
  <c r="J101" i="6"/>
  <c r="L101" i="6"/>
  <c r="N101" i="6"/>
  <c r="P101" i="6"/>
  <c r="H102" i="6"/>
  <c r="J102" i="6"/>
  <c r="L102" i="6"/>
  <c r="N102" i="6"/>
  <c r="P102" i="6"/>
  <c r="D4" i="6" l="1"/>
  <c r="J171" i="4"/>
  <c r="J187" i="4"/>
  <c r="J162" i="4"/>
  <c r="J155" i="4"/>
  <c r="J154" i="4"/>
  <c r="J170" i="4"/>
  <c r="J146" i="4"/>
  <c r="J163" i="4"/>
  <c r="J138" i="4"/>
  <c r="J139" i="4"/>
  <c r="J195" i="4"/>
  <c r="J194" i="4"/>
  <c r="J147" i="4"/>
  <c r="J186" i="4"/>
  <c r="J179" i="4"/>
  <c r="J178" i="4"/>
  <c r="D41" i="6"/>
  <c r="D6" i="6"/>
  <c r="I195" i="4"/>
  <c r="I187" i="4"/>
  <c r="I179" i="4"/>
  <c r="I171" i="4"/>
  <c r="I163" i="4"/>
  <c r="I155" i="4"/>
  <c r="I147" i="4"/>
  <c r="I139" i="4"/>
  <c r="I154" i="4"/>
  <c r="J193" i="4"/>
  <c r="J185" i="4"/>
  <c r="J177" i="4"/>
  <c r="J169" i="4"/>
  <c r="J161" i="4"/>
  <c r="J153" i="4"/>
  <c r="J145" i="4"/>
  <c r="J137" i="4"/>
  <c r="I186" i="4"/>
  <c r="I193" i="4"/>
  <c r="I185" i="4"/>
  <c r="I177" i="4"/>
  <c r="I169" i="4"/>
  <c r="I161" i="4"/>
  <c r="I153" i="4"/>
  <c r="I145" i="4"/>
  <c r="I137" i="4"/>
  <c r="J184" i="4"/>
  <c r="J176" i="4"/>
  <c r="J168" i="4"/>
  <c r="J160" i="4"/>
  <c r="J152" i="4"/>
  <c r="J144" i="4"/>
  <c r="J136" i="4"/>
  <c r="J200" i="4"/>
  <c r="I200" i="4"/>
  <c r="I192" i="4"/>
  <c r="I184" i="4"/>
  <c r="I176" i="4"/>
  <c r="I168" i="4"/>
  <c r="I160" i="4"/>
  <c r="I152" i="4"/>
  <c r="I144" i="4"/>
  <c r="I136" i="4"/>
  <c r="I170" i="4"/>
  <c r="J199" i="4"/>
  <c r="J191" i="4"/>
  <c r="J183" i="4"/>
  <c r="J175" i="4"/>
  <c r="J167" i="4"/>
  <c r="J159" i="4"/>
  <c r="J151" i="4"/>
  <c r="J143" i="4"/>
  <c r="J135" i="4"/>
  <c r="I178" i="4"/>
  <c r="I183" i="4"/>
  <c r="I175" i="4"/>
  <c r="I167" i="4"/>
  <c r="I159" i="4"/>
  <c r="I151" i="4"/>
  <c r="I143" i="4"/>
  <c r="I135" i="4"/>
  <c r="I138" i="4"/>
  <c r="J192" i="4"/>
  <c r="J198" i="4"/>
  <c r="J190" i="4"/>
  <c r="J182" i="4"/>
  <c r="J174" i="4"/>
  <c r="J166" i="4"/>
  <c r="J158" i="4"/>
  <c r="J150" i="4"/>
  <c r="J142" i="4"/>
  <c r="J134" i="4"/>
  <c r="I191" i="4"/>
  <c r="I198" i="4"/>
  <c r="I190" i="4"/>
  <c r="I182" i="4"/>
  <c r="I174" i="4"/>
  <c r="I166" i="4"/>
  <c r="I158" i="4"/>
  <c r="I150" i="4"/>
  <c r="I142" i="4"/>
  <c r="I134" i="4"/>
  <c r="I162" i="4"/>
  <c r="J197" i="4"/>
  <c r="J189" i="4"/>
  <c r="J181" i="4"/>
  <c r="J173" i="4"/>
  <c r="J165" i="4"/>
  <c r="J157" i="4"/>
  <c r="J149" i="4"/>
  <c r="J141" i="4"/>
  <c r="J133" i="4"/>
  <c r="I146" i="4"/>
  <c r="I199" i="4"/>
  <c r="I197" i="4"/>
  <c r="I189" i="4"/>
  <c r="I181" i="4"/>
  <c r="I173" i="4"/>
  <c r="I165" i="4"/>
  <c r="I157" i="4"/>
  <c r="I149" i="4"/>
  <c r="I141" i="4"/>
  <c r="I133" i="4"/>
  <c r="I194" i="4"/>
  <c r="J196" i="4"/>
  <c r="J180" i="4"/>
  <c r="J172" i="4"/>
  <c r="J164" i="4"/>
  <c r="J156" i="4"/>
  <c r="J148" i="4"/>
  <c r="J140" i="4"/>
  <c r="J188" i="4"/>
  <c r="I196" i="4"/>
  <c r="I188" i="4"/>
  <c r="I180" i="4"/>
  <c r="I172" i="4"/>
  <c r="I164" i="4"/>
  <c r="I156" i="4"/>
  <c r="I148" i="4"/>
  <c r="I140" i="4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3" i="2"/>
  <c r="J3" i="3"/>
  <c r="K3" i="3" s="1"/>
  <c r="J4" i="3"/>
  <c r="K4" i="3" s="1"/>
  <c r="J5" i="3"/>
  <c r="K5" i="3" s="1"/>
  <c r="J6" i="3"/>
  <c r="K6" i="3" s="1"/>
  <c r="J7" i="3"/>
  <c r="K7" i="3" s="1"/>
  <c r="J8" i="3"/>
  <c r="K8" i="3" s="1"/>
  <c r="J9" i="3"/>
  <c r="K9" i="3" s="1"/>
  <c r="J10" i="3"/>
  <c r="K10" i="3" s="1"/>
  <c r="J11" i="3"/>
  <c r="K11" i="3" s="1"/>
  <c r="J12" i="3"/>
  <c r="K12" i="3" s="1"/>
  <c r="J2" i="3"/>
  <c r="K2" i="3" s="1"/>
  <c r="C10" i="11" l="1"/>
  <c r="D10" i="11"/>
  <c r="E10" i="11"/>
  <c r="F10" i="11"/>
  <c r="C11" i="11"/>
  <c r="D11" i="11"/>
  <c r="E11" i="11"/>
  <c r="F11" i="11"/>
  <c r="C12" i="11"/>
  <c r="D12" i="11"/>
  <c r="E12" i="11"/>
  <c r="F12" i="11"/>
  <c r="C13" i="11"/>
  <c r="D13" i="11"/>
  <c r="E13" i="11"/>
  <c r="F13" i="11"/>
  <c r="C14" i="11"/>
  <c r="D14" i="11"/>
  <c r="E14" i="11"/>
  <c r="F14" i="11"/>
  <c r="C15" i="11"/>
  <c r="D15" i="11"/>
  <c r="E15" i="11"/>
  <c r="F15" i="11"/>
  <c r="C16" i="11"/>
  <c r="D16" i="11"/>
  <c r="E16" i="11"/>
  <c r="F16" i="11"/>
  <c r="C17" i="11"/>
  <c r="D17" i="11"/>
  <c r="E17" i="11"/>
  <c r="F17" i="11"/>
  <c r="C18" i="11"/>
  <c r="D18" i="11"/>
  <c r="E18" i="11"/>
  <c r="F18" i="11"/>
  <c r="B10" i="11" l="1"/>
  <c r="B11" i="11"/>
  <c r="B12" i="11"/>
  <c r="B13" i="11"/>
  <c r="B14" i="11"/>
  <c r="B15" i="11"/>
  <c r="B16" i="11"/>
  <c r="B17" i="11"/>
  <c r="B18" i="11"/>
  <c r="A8" i="11" a="1"/>
  <c r="A35" i="11"/>
  <c r="A8" i="11" l="1"/>
  <c r="F133" i="4" l="1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H2" i="9" a="1"/>
  <c r="H2" i="9" s="1"/>
  <c r="P3" i="6"/>
  <c r="N3" i="6"/>
  <c r="L3" i="6"/>
  <c r="J3" i="6"/>
  <c r="H3" i="6"/>
  <c r="I2" i="8" a="1"/>
  <c r="I2" i="8" s="1"/>
  <c r="L3" i="12" l="1"/>
  <c r="L2" i="12"/>
  <c r="F10" i="12" l="1"/>
  <c r="G10" i="12" s="1"/>
  <c r="F12" i="12"/>
  <c r="G12" i="12" s="1"/>
  <c r="F11" i="12"/>
  <c r="G11" i="12" s="1"/>
  <c r="F13" i="12"/>
  <c r="G13" i="12" s="1"/>
  <c r="F15" i="12"/>
  <c r="G15" i="12" s="1"/>
  <c r="F18" i="12"/>
  <c r="G18" i="12" s="1"/>
  <c r="F17" i="12"/>
  <c r="G17" i="12" s="1"/>
  <c r="F4" i="12"/>
  <c r="G4" i="12" s="1"/>
  <c r="F6" i="12"/>
  <c r="G6" i="12" s="1"/>
  <c r="F7" i="12"/>
  <c r="G7" i="12" s="1"/>
  <c r="F8" i="12"/>
  <c r="G8" i="12" s="1"/>
  <c r="F20" i="12"/>
  <c r="G20" i="12" s="1"/>
  <c r="F5" i="12"/>
  <c r="G5" i="12" s="1"/>
  <c r="F9" i="12"/>
  <c r="G9" i="12" s="1"/>
  <c r="F19" i="12"/>
  <c r="G19" i="12" s="1"/>
  <c r="F14" i="12"/>
  <c r="G14" i="12" s="1"/>
  <c r="F21" i="12"/>
  <c r="G21" i="12" s="1"/>
  <c r="F16" i="12"/>
  <c r="G16" i="12" s="1"/>
  <c r="E4" i="2" l="1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F3" i="2"/>
  <c r="E3" i="2"/>
  <c r="AP4" i="2"/>
  <c r="AQ4" i="2" s="1"/>
  <c r="AS4" i="2"/>
  <c r="AT4" i="2" s="1"/>
  <c r="AP5" i="2"/>
  <c r="AQ5" i="2" s="1"/>
  <c r="AS5" i="2"/>
  <c r="AT5" i="2" s="1"/>
  <c r="AP6" i="2"/>
  <c r="AQ6" i="2" s="1"/>
  <c r="AS6" i="2"/>
  <c r="AT6" i="2" s="1"/>
  <c r="AP7" i="2"/>
  <c r="AQ7" i="2" s="1"/>
  <c r="AS7" i="2"/>
  <c r="AT7" i="2" s="1"/>
  <c r="AP8" i="2"/>
  <c r="AQ8" i="2" s="1"/>
  <c r="AS8" i="2"/>
  <c r="AT8" i="2" s="1"/>
  <c r="AP9" i="2"/>
  <c r="AQ9" i="2" s="1"/>
  <c r="AS9" i="2"/>
  <c r="AT9" i="2" s="1"/>
  <c r="AP10" i="2"/>
  <c r="AQ10" i="2" s="1"/>
  <c r="AS10" i="2"/>
  <c r="AT10" i="2" s="1"/>
  <c r="AP11" i="2"/>
  <c r="AQ11" i="2" s="1"/>
  <c r="AS11" i="2"/>
  <c r="AT11" i="2" s="1"/>
  <c r="AP12" i="2"/>
  <c r="AQ12" i="2" s="1"/>
  <c r="AS12" i="2"/>
  <c r="AT12" i="2" s="1"/>
  <c r="AP13" i="2"/>
  <c r="AQ13" i="2" s="1"/>
  <c r="AS13" i="2"/>
  <c r="AT13" i="2" s="1"/>
  <c r="AP14" i="2"/>
  <c r="AQ14" i="2" s="1"/>
  <c r="AS14" i="2"/>
  <c r="AT14" i="2" s="1"/>
  <c r="AP15" i="2"/>
  <c r="AQ15" i="2" s="1"/>
  <c r="AS15" i="2"/>
  <c r="AT15" i="2" s="1"/>
  <c r="AP16" i="2"/>
  <c r="AQ16" i="2" s="1"/>
  <c r="AS16" i="2"/>
  <c r="AT16" i="2" s="1"/>
  <c r="AP17" i="2"/>
  <c r="AQ17" i="2" s="1"/>
  <c r="AS17" i="2"/>
  <c r="AT17" i="2" s="1"/>
  <c r="AP18" i="2"/>
  <c r="AQ18" i="2" s="1"/>
  <c r="AS18" i="2"/>
  <c r="AT18" i="2" s="1"/>
  <c r="AP19" i="2"/>
  <c r="AQ19" i="2" s="1"/>
  <c r="AS19" i="2"/>
  <c r="AT19" i="2" s="1"/>
  <c r="AP20" i="2"/>
  <c r="AQ20" i="2" s="1"/>
  <c r="AS20" i="2"/>
  <c r="AT20" i="2" s="1"/>
  <c r="AP21" i="2"/>
  <c r="AQ21" i="2" s="1"/>
  <c r="AS21" i="2"/>
  <c r="AT21" i="2" s="1"/>
  <c r="AP22" i="2"/>
  <c r="AQ22" i="2" s="1"/>
  <c r="AS22" i="2"/>
  <c r="AT22" i="2" s="1"/>
  <c r="AP23" i="2"/>
  <c r="AQ23" i="2" s="1"/>
  <c r="AS23" i="2"/>
  <c r="AT23" i="2" s="1"/>
  <c r="AP24" i="2"/>
  <c r="AQ24" i="2" s="1"/>
  <c r="AS24" i="2"/>
  <c r="AT24" i="2" s="1"/>
  <c r="AP25" i="2"/>
  <c r="AQ25" i="2" s="1"/>
  <c r="AS25" i="2"/>
  <c r="AT25" i="2" s="1"/>
  <c r="AP26" i="2"/>
  <c r="AQ26" i="2" s="1"/>
  <c r="AS26" i="2"/>
  <c r="AT26" i="2" s="1"/>
  <c r="AP27" i="2"/>
  <c r="AQ27" i="2" s="1"/>
  <c r="AS27" i="2"/>
  <c r="AT27" i="2" s="1"/>
  <c r="AP28" i="2"/>
  <c r="AQ28" i="2" s="1"/>
  <c r="AS28" i="2"/>
  <c r="AT28" i="2" s="1"/>
  <c r="AP29" i="2"/>
  <c r="AQ29" i="2" s="1"/>
  <c r="AS29" i="2"/>
  <c r="AT29" i="2" s="1"/>
  <c r="AP30" i="2"/>
  <c r="AQ30" i="2" s="1"/>
  <c r="AS30" i="2"/>
  <c r="AT30" i="2" s="1"/>
  <c r="AP31" i="2"/>
  <c r="AQ31" i="2" s="1"/>
  <c r="AS31" i="2"/>
  <c r="AT31" i="2" s="1"/>
  <c r="AP32" i="2"/>
  <c r="AQ32" i="2" s="1"/>
  <c r="AS32" i="2"/>
  <c r="AT32" i="2" s="1"/>
  <c r="AP33" i="2"/>
  <c r="AQ33" i="2" s="1"/>
  <c r="AS33" i="2"/>
  <c r="AT33" i="2" s="1"/>
  <c r="AP34" i="2"/>
  <c r="AQ34" i="2" s="1"/>
  <c r="AS34" i="2"/>
  <c r="AT34" i="2" s="1"/>
  <c r="AP35" i="2"/>
  <c r="AQ35" i="2" s="1"/>
  <c r="AS35" i="2"/>
  <c r="AT35" i="2" s="1"/>
  <c r="AP36" i="2"/>
  <c r="AQ36" i="2" s="1"/>
  <c r="AS36" i="2"/>
  <c r="AT36" i="2" s="1"/>
  <c r="AP37" i="2"/>
  <c r="AQ37" i="2" s="1"/>
  <c r="AS37" i="2"/>
  <c r="AT37" i="2" s="1"/>
  <c r="AP38" i="2"/>
  <c r="AQ38" i="2" s="1"/>
  <c r="AS38" i="2"/>
  <c r="AT38" i="2" s="1"/>
  <c r="AP39" i="2"/>
  <c r="AQ39" i="2" s="1"/>
  <c r="AS39" i="2"/>
  <c r="AT39" i="2" s="1"/>
  <c r="AP40" i="2"/>
  <c r="AQ40" i="2" s="1"/>
  <c r="AS40" i="2"/>
  <c r="AT40" i="2" s="1"/>
  <c r="AP41" i="2"/>
  <c r="AQ41" i="2" s="1"/>
  <c r="AS41" i="2"/>
  <c r="AT41" i="2" s="1"/>
  <c r="AP42" i="2"/>
  <c r="AQ42" i="2" s="1"/>
  <c r="AS42" i="2"/>
  <c r="AT42" i="2" s="1"/>
  <c r="AP43" i="2"/>
  <c r="AQ43" i="2" s="1"/>
  <c r="AS43" i="2"/>
  <c r="AT43" i="2" s="1"/>
  <c r="AP44" i="2"/>
  <c r="AQ44" i="2" s="1"/>
  <c r="AS44" i="2"/>
  <c r="AT44" i="2" s="1"/>
  <c r="AP45" i="2"/>
  <c r="AQ45" i="2" s="1"/>
  <c r="AS45" i="2"/>
  <c r="AT45" i="2" s="1"/>
  <c r="AP46" i="2"/>
  <c r="AQ46" i="2" s="1"/>
  <c r="AS46" i="2"/>
  <c r="AT46" i="2" s="1"/>
  <c r="AP47" i="2"/>
  <c r="AQ47" i="2" s="1"/>
  <c r="AS47" i="2"/>
  <c r="AT47" i="2" s="1"/>
  <c r="AP48" i="2"/>
  <c r="AQ48" i="2" s="1"/>
  <c r="AS48" i="2"/>
  <c r="AT48" i="2" s="1"/>
  <c r="AP49" i="2"/>
  <c r="AQ49" i="2" s="1"/>
  <c r="AS49" i="2"/>
  <c r="AT49" i="2" s="1"/>
  <c r="AP50" i="2"/>
  <c r="AQ50" i="2" s="1"/>
  <c r="AS50" i="2"/>
  <c r="AT50" i="2" s="1"/>
  <c r="AP51" i="2"/>
  <c r="AQ51" i="2" s="1"/>
  <c r="AS51" i="2"/>
  <c r="AT51" i="2" s="1"/>
  <c r="AP52" i="2"/>
  <c r="AQ52" i="2" s="1"/>
  <c r="AS52" i="2"/>
  <c r="AT52" i="2" s="1"/>
  <c r="AP53" i="2"/>
  <c r="AQ53" i="2" s="1"/>
  <c r="AS53" i="2"/>
  <c r="AT53" i="2" s="1"/>
  <c r="AP54" i="2"/>
  <c r="AQ54" i="2" s="1"/>
  <c r="AS54" i="2"/>
  <c r="AT54" i="2" s="1"/>
  <c r="AP55" i="2"/>
  <c r="AQ55" i="2" s="1"/>
  <c r="AS55" i="2"/>
  <c r="AT55" i="2" s="1"/>
  <c r="AP56" i="2"/>
  <c r="AQ56" i="2" s="1"/>
  <c r="AS56" i="2"/>
  <c r="AT56" i="2" s="1"/>
  <c r="AP57" i="2"/>
  <c r="AQ57" i="2" s="1"/>
  <c r="AS57" i="2"/>
  <c r="AT57" i="2" s="1"/>
  <c r="AP58" i="2"/>
  <c r="AQ58" i="2" s="1"/>
  <c r="AS58" i="2"/>
  <c r="AT58" i="2" s="1"/>
  <c r="AP59" i="2"/>
  <c r="AQ59" i="2" s="1"/>
  <c r="AS59" i="2"/>
  <c r="AT59" i="2" s="1"/>
  <c r="AP60" i="2"/>
  <c r="AQ60" i="2" s="1"/>
  <c r="AS60" i="2"/>
  <c r="AT60" i="2" s="1"/>
  <c r="AP61" i="2"/>
  <c r="AQ61" i="2" s="1"/>
  <c r="AS61" i="2"/>
  <c r="AT61" i="2" s="1"/>
  <c r="AP62" i="2"/>
  <c r="AQ62" i="2" s="1"/>
  <c r="AS62" i="2"/>
  <c r="AT62" i="2" s="1"/>
  <c r="AP63" i="2"/>
  <c r="AQ63" i="2" s="1"/>
  <c r="AS63" i="2"/>
  <c r="AT63" i="2" s="1"/>
  <c r="AP64" i="2"/>
  <c r="AQ64" i="2" s="1"/>
  <c r="AS64" i="2"/>
  <c r="AT64" i="2" s="1"/>
  <c r="AP65" i="2"/>
  <c r="AQ65" i="2" s="1"/>
  <c r="AS65" i="2"/>
  <c r="AT65" i="2" s="1"/>
  <c r="AP66" i="2"/>
  <c r="AQ66" i="2" s="1"/>
  <c r="AS66" i="2"/>
  <c r="AT66" i="2" s="1"/>
  <c r="AP67" i="2"/>
  <c r="AQ67" i="2" s="1"/>
  <c r="AS67" i="2"/>
  <c r="AT67" i="2" s="1"/>
  <c r="AS3" i="2"/>
  <c r="AT3" i="2" s="1"/>
  <c r="AP3" i="2"/>
  <c r="AQ3" i="2" s="1"/>
  <c r="E12" i="9"/>
  <c r="E11" i="9"/>
  <c r="E10" i="9"/>
  <c r="E9" i="9"/>
  <c r="E8" i="9"/>
  <c r="E7" i="9"/>
  <c r="E6" i="9"/>
  <c r="E5" i="9"/>
  <c r="E4" i="9"/>
  <c r="E3" i="9"/>
  <c r="E2" i="9"/>
  <c r="G6" i="2" l="1"/>
  <c r="G3" i="2"/>
  <c r="G5" i="2"/>
  <c r="G4" i="2"/>
  <c r="G18" i="2"/>
  <c r="G50" i="2"/>
  <c r="G66" i="2"/>
  <c r="G19" i="2"/>
  <c r="G51" i="2"/>
  <c r="G67" i="2"/>
  <c r="G7" i="2"/>
  <c r="G15" i="2"/>
  <c r="G20" i="2"/>
  <c r="G22" i="2"/>
  <c r="G32" i="2"/>
  <c r="G52" i="2"/>
  <c r="G8" i="2"/>
  <c r="G16" i="2"/>
  <c r="G21" i="2"/>
  <c r="G23" i="2"/>
  <c r="G33" i="2"/>
  <c r="G37" i="2"/>
  <c r="G53" i="2"/>
  <c r="G9" i="2"/>
  <c r="G17" i="2"/>
  <c r="G24" i="2"/>
  <c r="G34" i="2"/>
  <c r="G38" i="2"/>
  <c r="G54" i="2"/>
  <c r="G10" i="2"/>
  <c r="G25" i="2"/>
  <c r="G35" i="2"/>
  <c r="G39" i="2"/>
  <c r="G55" i="2"/>
  <c r="G11" i="2"/>
  <c r="G26" i="2"/>
  <c r="G29" i="2"/>
  <c r="G36" i="2"/>
  <c r="G40" i="2"/>
  <c r="G56" i="2"/>
  <c r="G12" i="2"/>
  <c r="G27" i="2"/>
  <c r="G30" i="2"/>
  <c r="G41" i="2"/>
  <c r="G57" i="2"/>
  <c r="G31" i="2"/>
  <c r="G42" i="2"/>
  <c r="G58" i="2"/>
  <c r="G49" i="2"/>
  <c r="G43" i="2"/>
  <c r="G59" i="2"/>
  <c r="G28" i="2"/>
  <c r="G44" i="2"/>
  <c r="G60" i="2"/>
  <c r="G45" i="2"/>
  <c r="G61" i="2"/>
  <c r="G46" i="2"/>
  <c r="G62" i="2"/>
  <c r="G13" i="2"/>
  <c r="G47" i="2"/>
  <c r="G63" i="2"/>
  <c r="G65" i="2"/>
  <c r="G14" i="2"/>
  <c r="G48" i="2"/>
  <c r="G64" i="2"/>
  <c r="V67" i="2"/>
  <c r="Y67" i="2" s="1"/>
  <c r="X67" i="2" s="1"/>
  <c r="V66" i="2"/>
  <c r="Y66" i="2" s="1"/>
  <c r="X66" i="2" s="1"/>
  <c r="V65" i="2"/>
  <c r="Y65" i="2" s="1"/>
  <c r="X65" i="2" s="1"/>
  <c r="V64" i="2"/>
  <c r="Y64" i="2" s="1"/>
  <c r="X64" i="2" s="1"/>
  <c r="V63" i="2"/>
  <c r="Y63" i="2" s="1"/>
  <c r="X63" i="2" s="1"/>
  <c r="V62" i="2"/>
  <c r="Y62" i="2" s="1"/>
  <c r="X62" i="2" s="1"/>
  <c r="V61" i="2"/>
  <c r="Y61" i="2" s="1"/>
  <c r="X61" i="2" s="1"/>
  <c r="V60" i="2"/>
  <c r="Y60" i="2" s="1"/>
  <c r="X60" i="2" s="1"/>
  <c r="V59" i="2"/>
  <c r="Y59" i="2" s="1"/>
  <c r="X59" i="2" s="1"/>
  <c r="V58" i="2"/>
  <c r="Y58" i="2" s="1"/>
  <c r="X58" i="2" s="1"/>
  <c r="V57" i="2"/>
  <c r="Y57" i="2" s="1"/>
  <c r="X57" i="2" s="1"/>
  <c r="V56" i="2"/>
  <c r="Y56" i="2" s="1"/>
  <c r="X56" i="2" s="1"/>
  <c r="V55" i="2"/>
  <c r="Y55" i="2" s="1"/>
  <c r="X55" i="2" s="1"/>
  <c r="V54" i="2"/>
  <c r="Y54" i="2" s="1"/>
  <c r="X54" i="2" s="1"/>
  <c r="V53" i="2"/>
  <c r="Y53" i="2" s="1"/>
  <c r="X53" i="2" s="1"/>
  <c r="V52" i="2"/>
  <c r="Y52" i="2" s="1"/>
  <c r="X52" i="2" s="1"/>
  <c r="V51" i="2"/>
  <c r="Y51" i="2" s="1"/>
  <c r="X51" i="2" s="1"/>
  <c r="V50" i="2"/>
  <c r="Y50" i="2" s="1"/>
  <c r="X50" i="2" s="1"/>
  <c r="V49" i="2"/>
  <c r="Y49" i="2" s="1"/>
  <c r="X49" i="2" s="1"/>
  <c r="V48" i="2"/>
  <c r="Y48" i="2" s="1"/>
  <c r="X48" i="2" s="1"/>
  <c r="V47" i="2"/>
  <c r="Y47" i="2" s="1"/>
  <c r="X47" i="2" s="1"/>
  <c r="V46" i="2"/>
  <c r="Y46" i="2" s="1"/>
  <c r="X46" i="2" s="1"/>
  <c r="V45" i="2"/>
  <c r="Y45" i="2" s="1"/>
  <c r="X45" i="2" s="1"/>
  <c r="V44" i="2"/>
  <c r="Y44" i="2" s="1"/>
  <c r="X44" i="2" s="1"/>
  <c r="V43" i="2"/>
  <c r="Y43" i="2" s="1"/>
  <c r="X43" i="2" s="1"/>
  <c r="V42" i="2"/>
  <c r="Y42" i="2" s="1"/>
  <c r="X42" i="2" s="1"/>
  <c r="V41" i="2"/>
  <c r="Y41" i="2" s="1"/>
  <c r="X41" i="2" s="1"/>
  <c r="V40" i="2"/>
  <c r="Y40" i="2" s="1"/>
  <c r="X40" i="2" s="1"/>
  <c r="V39" i="2"/>
  <c r="Y39" i="2" s="1"/>
  <c r="X39" i="2" s="1"/>
  <c r="V38" i="2"/>
  <c r="Y38" i="2" s="1"/>
  <c r="X38" i="2" s="1"/>
  <c r="V37" i="2"/>
  <c r="Y37" i="2" s="1"/>
  <c r="X37" i="2" s="1"/>
  <c r="V36" i="2"/>
  <c r="Y36" i="2" s="1"/>
  <c r="X36" i="2" s="1"/>
  <c r="V35" i="2"/>
  <c r="Y35" i="2" s="1"/>
  <c r="X35" i="2" s="1"/>
  <c r="V34" i="2"/>
  <c r="Y34" i="2" s="1"/>
  <c r="X34" i="2" s="1"/>
  <c r="V33" i="2"/>
  <c r="Y33" i="2" s="1"/>
  <c r="X33" i="2" s="1"/>
  <c r="V32" i="2"/>
  <c r="Y32" i="2" s="1"/>
  <c r="X32" i="2" s="1"/>
  <c r="V31" i="2"/>
  <c r="Y31" i="2" s="1"/>
  <c r="X31" i="2" s="1"/>
  <c r="V30" i="2"/>
  <c r="Y30" i="2" s="1"/>
  <c r="X30" i="2" s="1"/>
  <c r="V29" i="2"/>
  <c r="Y29" i="2" s="1"/>
  <c r="X29" i="2" s="1"/>
  <c r="V28" i="2"/>
  <c r="Y28" i="2" s="1"/>
  <c r="X28" i="2" s="1"/>
  <c r="V27" i="2"/>
  <c r="Y27" i="2" s="1"/>
  <c r="X27" i="2" s="1"/>
  <c r="V26" i="2"/>
  <c r="Y26" i="2" s="1"/>
  <c r="X26" i="2" s="1"/>
  <c r="V25" i="2"/>
  <c r="Y25" i="2" s="1"/>
  <c r="X25" i="2" s="1"/>
  <c r="V24" i="2"/>
  <c r="Y24" i="2" s="1"/>
  <c r="X24" i="2" s="1"/>
  <c r="V23" i="2"/>
  <c r="Y23" i="2" s="1"/>
  <c r="X23" i="2" s="1"/>
  <c r="V22" i="2"/>
  <c r="Y22" i="2" s="1"/>
  <c r="X22" i="2" s="1"/>
  <c r="V21" i="2"/>
  <c r="Y21" i="2" s="1"/>
  <c r="X21" i="2" s="1"/>
  <c r="V20" i="2"/>
  <c r="Y20" i="2" s="1"/>
  <c r="X20" i="2" s="1"/>
  <c r="V19" i="2"/>
  <c r="Y19" i="2" s="1"/>
  <c r="X19" i="2" s="1"/>
  <c r="V18" i="2"/>
  <c r="Y18" i="2" s="1"/>
  <c r="X18" i="2" s="1"/>
  <c r="V17" i="2"/>
  <c r="Y17" i="2" s="1"/>
  <c r="X17" i="2" s="1"/>
  <c r="V16" i="2"/>
  <c r="Y16" i="2" s="1"/>
  <c r="X16" i="2" s="1"/>
  <c r="V15" i="2"/>
  <c r="Y15" i="2" s="1"/>
  <c r="X15" i="2" s="1"/>
  <c r="V14" i="2"/>
  <c r="Y14" i="2" s="1"/>
  <c r="X14" i="2" s="1"/>
  <c r="V13" i="2"/>
  <c r="Y13" i="2" s="1"/>
  <c r="X13" i="2" s="1"/>
  <c r="V12" i="2"/>
  <c r="Y12" i="2" s="1"/>
  <c r="X12" i="2" s="1"/>
  <c r="V11" i="2"/>
  <c r="Y11" i="2" s="1"/>
  <c r="X11" i="2" s="1"/>
  <c r="V10" i="2"/>
  <c r="Y10" i="2" s="1"/>
  <c r="X10" i="2" s="1"/>
  <c r="V9" i="2"/>
  <c r="Y9" i="2" s="1"/>
  <c r="X9" i="2" s="1"/>
  <c r="V8" i="2"/>
  <c r="Y8" i="2" s="1"/>
  <c r="X8" i="2" s="1"/>
  <c r="V7" i="2"/>
  <c r="Y7" i="2" s="1"/>
  <c r="X7" i="2" s="1"/>
  <c r="V6" i="2"/>
  <c r="Y6" i="2" s="1"/>
  <c r="X6" i="2" s="1"/>
  <c r="V5" i="2"/>
  <c r="Y5" i="2" s="1"/>
  <c r="X5" i="2" s="1"/>
  <c r="V4" i="2"/>
  <c r="Y4" i="2" s="1"/>
  <c r="X4" i="2" s="1"/>
  <c r="V3" i="2"/>
  <c r="Y3" i="2" s="1"/>
  <c r="X3" i="2" s="1"/>
  <c r="K3" i="2" s="1"/>
  <c r="BI67" i="2" l="1"/>
  <c r="BJ67" i="2" s="1"/>
  <c r="BI66" i="2"/>
  <c r="BJ66" i="2" s="1"/>
  <c r="BI65" i="2"/>
  <c r="BJ65" i="2" s="1"/>
  <c r="BI64" i="2"/>
  <c r="BJ64" i="2" s="1"/>
  <c r="BI63" i="2"/>
  <c r="BJ63" i="2" s="1"/>
  <c r="BI62" i="2"/>
  <c r="BJ62" i="2" s="1"/>
  <c r="BI61" i="2"/>
  <c r="BJ61" i="2" s="1"/>
  <c r="BI60" i="2"/>
  <c r="BJ60" i="2" s="1"/>
  <c r="BI59" i="2"/>
  <c r="BJ59" i="2" s="1"/>
  <c r="BI58" i="2"/>
  <c r="BJ58" i="2" s="1"/>
  <c r="BI57" i="2"/>
  <c r="BJ57" i="2" s="1"/>
  <c r="BI56" i="2"/>
  <c r="BJ56" i="2" s="1"/>
  <c r="BI55" i="2"/>
  <c r="BJ55" i="2" s="1"/>
  <c r="BI54" i="2"/>
  <c r="BJ54" i="2" s="1"/>
  <c r="BI53" i="2"/>
  <c r="BJ53" i="2" s="1"/>
  <c r="BI52" i="2"/>
  <c r="BJ52" i="2" s="1"/>
  <c r="BI51" i="2"/>
  <c r="BJ51" i="2" s="1"/>
  <c r="BI50" i="2"/>
  <c r="BJ50" i="2" s="1"/>
  <c r="BI49" i="2"/>
  <c r="BJ49" i="2" s="1"/>
  <c r="BI48" i="2"/>
  <c r="BJ48" i="2" s="1"/>
  <c r="BI47" i="2"/>
  <c r="BJ47" i="2" s="1"/>
  <c r="BI46" i="2"/>
  <c r="BJ46" i="2" s="1"/>
  <c r="BI45" i="2"/>
  <c r="BJ45" i="2" s="1"/>
  <c r="BI44" i="2"/>
  <c r="BJ44" i="2" s="1"/>
  <c r="BI43" i="2"/>
  <c r="BJ43" i="2" s="1"/>
  <c r="BI42" i="2"/>
  <c r="BJ42" i="2" s="1"/>
  <c r="BI41" i="2"/>
  <c r="BJ41" i="2" s="1"/>
  <c r="BI40" i="2"/>
  <c r="BJ40" i="2" s="1"/>
  <c r="BI39" i="2"/>
  <c r="BJ39" i="2" s="1"/>
  <c r="BI38" i="2"/>
  <c r="BJ38" i="2" s="1"/>
  <c r="BI37" i="2"/>
  <c r="BJ37" i="2" s="1"/>
  <c r="BI36" i="2"/>
  <c r="BJ36" i="2" s="1"/>
  <c r="BI35" i="2"/>
  <c r="BJ35" i="2" s="1"/>
  <c r="BI34" i="2"/>
  <c r="BJ34" i="2" s="1"/>
  <c r="BI33" i="2"/>
  <c r="BJ33" i="2" s="1"/>
  <c r="BI32" i="2"/>
  <c r="BJ32" i="2" s="1"/>
  <c r="BI31" i="2"/>
  <c r="BJ31" i="2" s="1"/>
  <c r="BI30" i="2"/>
  <c r="BJ30" i="2" s="1"/>
  <c r="BI29" i="2"/>
  <c r="BJ29" i="2" s="1"/>
  <c r="BI28" i="2"/>
  <c r="BJ28" i="2" s="1"/>
  <c r="BI27" i="2"/>
  <c r="BJ27" i="2" s="1"/>
  <c r="BI26" i="2"/>
  <c r="BJ26" i="2" s="1"/>
  <c r="BI25" i="2"/>
  <c r="BJ25" i="2" s="1"/>
  <c r="BI24" i="2"/>
  <c r="BJ24" i="2" s="1"/>
  <c r="BI23" i="2"/>
  <c r="BJ23" i="2" s="1"/>
  <c r="BI22" i="2"/>
  <c r="BJ22" i="2" s="1"/>
  <c r="BI21" i="2"/>
  <c r="BJ21" i="2" s="1"/>
  <c r="BI20" i="2"/>
  <c r="BJ20" i="2" s="1"/>
  <c r="BI19" i="2"/>
  <c r="BJ19" i="2" s="1"/>
  <c r="BI18" i="2"/>
  <c r="BJ18" i="2" s="1"/>
  <c r="BI17" i="2"/>
  <c r="BJ17" i="2" s="1"/>
  <c r="BI16" i="2"/>
  <c r="BJ16" i="2" s="1"/>
  <c r="BI15" i="2"/>
  <c r="BJ15" i="2" s="1"/>
  <c r="BI14" i="2"/>
  <c r="BJ14" i="2" s="1"/>
  <c r="BI13" i="2"/>
  <c r="BJ13" i="2" s="1"/>
  <c r="BI12" i="2"/>
  <c r="BJ12" i="2" s="1"/>
  <c r="BI11" i="2"/>
  <c r="BJ11" i="2" s="1"/>
  <c r="BI10" i="2"/>
  <c r="BJ10" i="2" s="1"/>
  <c r="BI9" i="2"/>
  <c r="BJ9" i="2" s="1"/>
  <c r="BI8" i="2"/>
  <c r="BJ8" i="2" s="1"/>
  <c r="BI7" i="2"/>
  <c r="BJ7" i="2" s="1"/>
  <c r="BI6" i="2"/>
  <c r="BJ6" i="2" s="1"/>
  <c r="BI5" i="2"/>
  <c r="BJ5" i="2" s="1"/>
  <c r="BI4" i="2"/>
  <c r="BJ4" i="2" s="1"/>
  <c r="BI3" i="2"/>
  <c r="BJ3" i="2" s="1"/>
  <c r="D5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O3" i="2" l="1"/>
  <c r="P3" i="2" s="1"/>
  <c r="E8" i="11" s="1"/>
  <c r="AA3" i="2"/>
  <c r="AD3" i="2"/>
  <c r="AG3" i="2"/>
  <c r="AH3" i="2" s="1"/>
  <c r="AJ3" i="2"/>
  <c r="AM3" i="2"/>
  <c r="AV3" i="2"/>
  <c r="BA3" i="2"/>
  <c r="BB3" i="2" s="1"/>
  <c r="BF3" i="2"/>
  <c r="BG3" i="2" s="1"/>
  <c r="Q3" i="2"/>
  <c r="BF4" i="2"/>
  <c r="BG4" i="2" s="1"/>
  <c r="BF5" i="2"/>
  <c r="BG5" i="2" s="1"/>
  <c r="BF6" i="2"/>
  <c r="BG6" i="2" s="1"/>
  <c r="BF7" i="2"/>
  <c r="BG7" i="2" s="1"/>
  <c r="BF8" i="2"/>
  <c r="BG8" i="2" s="1"/>
  <c r="BF9" i="2"/>
  <c r="BG9" i="2" s="1"/>
  <c r="BF10" i="2"/>
  <c r="BG10" i="2" s="1"/>
  <c r="BF11" i="2"/>
  <c r="BG11" i="2" s="1"/>
  <c r="BF12" i="2"/>
  <c r="BG12" i="2" s="1"/>
  <c r="BF13" i="2"/>
  <c r="BG13" i="2" s="1"/>
  <c r="BF14" i="2"/>
  <c r="BG14" i="2" s="1"/>
  <c r="BF15" i="2"/>
  <c r="BG15" i="2" s="1"/>
  <c r="BF16" i="2"/>
  <c r="BG16" i="2" s="1"/>
  <c r="BF17" i="2"/>
  <c r="BG17" i="2" s="1"/>
  <c r="BF18" i="2"/>
  <c r="BG18" i="2" s="1"/>
  <c r="BF19" i="2"/>
  <c r="BG19" i="2" s="1"/>
  <c r="BF20" i="2"/>
  <c r="BG20" i="2" s="1"/>
  <c r="BF21" i="2"/>
  <c r="BG21" i="2" s="1"/>
  <c r="BF22" i="2"/>
  <c r="BG22" i="2" s="1"/>
  <c r="BF23" i="2"/>
  <c r="BG23" i="2" s="1"/>
  <c r="BF24" i="2"/>
  <c r="BG24" i="2" s="1"/>
  <c r="BF25" i="2"/>
  <c r="BG25" i="2" s="1"/>
  <c r="BF26" i="2"/>
  <c r="BG26" i="2" s="1"/>
  <c r="BF27" i="2"/>
  <c r="BG27" i="2" s="1"/>
  <c r="BF28" i="2"/>
  <c r="BG28" i="2" s="1"/>
  <c r="BF29" i="2"/>
  <c r="BG29" i="2" s="1"/>
  <c r="BF30" i="2"/>
  <c r="BG30" i="2" s="1"/>
  <c r="BF31" i="2"/>
  <c r="BG31" i="2" s="1"/>
  <c r="BF32" i="2"/>
  <c r="BG32" i="2" s="1"/>
  <c r="BF33" i="2"/>
  <c r="BG33" i="2" s="1"/>
  <c r="BF34" i="2"/>
  <c r="BG34" i="2" s="1"/>
  <c r="BF35" i="2"/>
  <c r="BG35" i="2" s="1"/>
  <c r="BF36" i="2"/>
  <c r="BG36" i="2" s="1"/>
  <c r="BF37" i="2"/>
  <c r="BG37" i="2" s="1"/>
  <c r="BF38" i="2"/>
  <c r="BG38" i="2" s="1"/>
  <c r="BF39" i="2"/>
  <c r="BG39" i="2" s="1"/>
  <c r="BF40" i="2"/>
  <c r="BG40" i="2" s="1"/>
  <c r="BF41" i="2"/>
  <c r="BG41" i="2" s="1"/>
  <c r="BF42" i="2"/>
  <c r="BG42" i="2" s="1"/>
  <c r="BF43" i="2"/>
  <c r="BG43" i="2" s="1"/>
  <c r="BF44" i="2"/>
  <c r="BG44" i="2" s="1"/>
  <c r="BF45" i="2"/>
  <c r="BG45" i="2" s="1"/>
  <c r="BF46" i="2"/>
  <c r="BG46" i="2" s="1"/>
  <c r="BF47" i="2"/>
  <c r="BG47" i="2" s="1"/>
  <c r="BF48" i="2"/>
  <c r="BG48" i="2" s="1"/>
  <c r="BF49" i="2"/>
  <c r="BG49" i="2" s="1"/>
  <c r="BF50" i="2"/>
  <c r="BG50" i="2" s="1"/>
  <c r="BF51" i="2"/>
  <c r="BG51" i="2" s="1"/>
  <c r="BF52" i="2"/>
  <c r="BG52" i="2" s="1"/>
  <c r="BF53" i="2"/>
  <c r="BG53" i="2" s="1"/>
  <c r="BF54" i="2"/>
  <c r="BG54" i="2" s="1"/>
  <c r="BF55" i="2"/>
  <c r="BG55" i="2" s="1"/>
  <c r="BF56" i="2"/>
  <c r="BG56" i="2" s="1"/>
  <c r="BF57" i="2"/>
  <c r="BG57" i="2" s="1"/>
  <c r="BF58" i="2"/>
  <c r="BG58" i="2" s="1"/>
  <c r="BF59" i="2"/>
  <c r="BG59" i="2" s="1"/>
  <c r="BF60" i="2"/>
  <c r="BG60" i="2" s="1"/>
  <c r="BF61" i="2"/>
  <c r="BG61" i="2" s="1"/>
  <c r="BF62" i="2"/>
  <c r="BG62" i="2" s="1"/>
  <c r="BF63" i="2"/>
  <c r="BG63" i="2" s="1"/>
  <c r="BF64" i="2"/>
  <c r="BG64" i="2" s="1"/>
  <c r="BF65" i="2"/>
  <c r="BG65" i="2" s="1"/>
  <c r="BF66" i="2"/>
  <c r="BG66" i="2" s="1"/>
  <c r="BF67" i="2"/>
  <c r="BG67" i="2" s="1"/>
  <c r="BA4" i="2"/>
  <c r="BA5" i="2"/>
  <c r="BB5" i="2" s="1"/>
  <c r="BA6" i="2"/>
  <c r="BB6" i="2" s="1"/>
  <c r="BA7" i="2"/>
  <c r="BB7" i="2" s="1"/>
  <c r="BA8" i="2"/>
  <c r="BB8" i="2" s="1"/>
  <c r="BA9" i="2"/>
  <c r="BB9" i="2" s="1"/>
  <c r="BA10" i="2"/>
  <c r="BB10" i="2" s="1"/>
  <c r="BA11" i="2"/>
  <c r="BB11" i="2" s="1"/>
  <c r="BA12" i="2"/>
  <c r="BB12" i="2" s="1"/>
  <c r="BA13" i="2"/>
  <c r="BB13" i="2" s="1"/>
  <c r="BA14" i="2"/>
  <c r="BB14" i="2" s="1"/>
  <c r="BA15" i="2"/>
  <c r="BB15" i="2" s="1"/>
  <c r="BA16" i="2"/>
  <c r="BB16" i="2" s="1"/>
  <c r="BA17" i="2"/>
  <c r="BB17" i="2" s="1"/>
  <c r="BA18" i="2"/>
  <c r="BB18" i="2" s="1"/>
  <c r="BA19" i="2"/>
  <c r="BB19" i="2" s="1"/>
  <c r="BA20" i="2"/>
  <c r="BB20" i="2" s="1"/>
  <c r="BA21" i="2"/>
  <c r="BB21" i="2" s="1"/>
  <c r="BA22" i="2"/>
  <c r="BB22" i="2" s="1"/>
  <c r="BA23" i="2"/>
  <c r="BB23" i="2" s="1"/>
  <c r="BA24" i="2"/>
  <c r="BB24" i="2" s="1"/>
  <c r="BA25" i="2"/>
  <c r="BB25" i="2" s="1"/>
  <c r="BA26" i="2"/>
  <c r="BB26" i="2" s="1"/>
  <c r="BA27" i="2"/>
  <c r="BB27" i="2" s="1"/>
  <c r="BA28" i="2"/>
  <c r="BB28" i="2" s="1"/>
  <c r="BA29" i="2"/>
  <c r="BB29" i="2" s="1"/>
  <c r="BA30" i="2"/>
  <c r="BB30" i="2" s="1"/>
  <c r="BA31" i="2"/>
  <c r="BB31" i="2" s="1"/>
  <c r="BA32" i="2"/>
  <c r="BB32" i="2" s="1"/>
  <c r="BA33" i="2"/>
  <c r="BB33" i="2" s="1"/>
  <c r="BA34" i="2"/>
  <c r="BB34" i="2" s="1"/>
  <c r="BA35" i="2"/>
  <c r="BB35" i="2" s="1"/>
  <c r="BA36" i="2"/>
  <c r="BB36" i="2" s="1"/>
  <c r="BA37" i="2"/>
  <c r="BB37" i="2" s="1"/>
  <c r="BA38" i="2"/>
  <c r="BB38" i="2" s="1"/>
  <c r="BA39" i="2"/>
  <c r="BB39" i="2" s="1"/>
  <c r="BA40" i="2"/>
  <c r="BB40" i="2" s="1"/>
  <c r="BA41" i="2"/>
  <c r="BB41" i="2" s="1"/>
  <c r="BA42" i="2"/>
  <c r="BB42" i="2" s="1"/>
  <c r="BA43" i="2"/>
  <c r="BB43" i="2" s="1"/>
  <c r="BA44" i="2"/>
  <c r="BB44" i="2" s="1"/>
  <c r="BA45" i="2"/>
  <c r="BB45" i="2" s="1"/>
  <c r="BA46" i="2"/>
  <c r="BB46" i="2" s="1"/>
  <c r="BA47" i="2"/>
  <c r="BB47" i="2" s="1"/>
  <c r="BA48" i="2"/>
  <c r="BB48" i="2" s="1"/>
  <c r="BA49" i="2"/>
  <c r="BB49" i="2" s="1"/>
  <c r="BA50" i="2"/>
  <c r="BB50" i="2" s="1"/>
  <c r="BA51" i="2"/>
  <c r="BB51" i="2" s="1"/>
  <c r="BA52" i="2"/>
  <c r="BB52" i="2" s="1"/>
  <c r="BA53" i="2"/>
  <c r="BB53" i="2" s="1"/>
  <c r="BA54" i="2"/>
  <c r="BB54" i="2" s="1"/>
  <c r="BA55" i="2"/>
  <c r="BB55" i="2" s="1"/>
  <c r="BA56" i="2"/>
  <c r="BB56" i="2" s="1"/>
  <c r="BA57" i="2"/>
  <c r="BB57" i="2" s="1"/>
  <c r="BA58" i="2"/>
  <c r="BB58" i="2" s="1"/>
  <c r="BA59" i="2"/>
  <c r="BB59" i="2" s="1"/>
  <c r="BA60" i="2"/>
  <c r="BB60" i="2" s="1"/>
  <c r="BA61" i="2"/>
  <c r="BB61" i="2" s="1"/>
  <c r="BA62" i="2"/>
  <c r="BB62" i="2" s="1"/>
  <c r="BA63" i="2"/>
  <c r="BB63" i="2" s="1"/>
  <c r="BA64" i="2"/>
  <c r="BB64" i="2" s="1"/>
  <c r="BA65" i="2"/>
  <c r="BB65" i="2" s="1"/>
  <c r="BA66" i="2"/>
  <c r="BB66" i="2" s="1"/>
  <c r="BA67" i="2"/>
  <c r="BB67" i="2" s="1"/>
  <c r="AA4" i="2"/>
  <c r="AD4" i="2"/>
  <c r="AE4" i="2" s="1"/>
  <c r="AG4" i="2"/>
  <c r="AH4" i="2" s="1"/>
  <c r="AJ4" i="2"/>
  <c r="AK4" i="2" s="1"/>
  <c r="AV4" i="2"/>
  <c r="AW4" i="2" s="1"/>
  <c r="K5" i="2"/>
  <c r="K4" i="2"/>
  <c r="L4" i="2" s="1"/>
  <c r="C9" i="11" s="1"/>
  <c r="AM4" i="2"/>
  <c r="AN4" i="2" s="1"/>
  <c r="O4" i="2"/>
  <c r="P4" i="2" s="1"/>
  <c r="E9" i="11" s="1"/>
  <c r="BQ4" i="2"/>
  <c r="R4" i="2" s="1"/>
  <c r="F9" i="11" s="1"/>
  <c r="AA5" i="2"/>
  <c r="AD5" i="2"/>
  <c r="AE5" i="2" s="1"/>
  <c r="AG5" i="2"/>
  <c r="AH5" i="2" s="1"/>
  <c r="AJ5" i="2"/>
  <c r="AK5" i="2" s="1"/>
  <c r="AM5" i="2"/>
  <c r="AN5" i="2" s="1"/>
  <c r="AV5" i="2"/>
  <c r="AW5" i="2" s="1"/>
  <c r="O5" i="2"/>
  <c r="P5" i="2" s="1"/>
  <c r="BQ5" i="2"/>
  <c r="R5" i="2" s="1"/>
  <c r="AA6" i="2"/>
  <c r="AD6" i="2"/>
  <c r="AE6" i="2" s="1"/>
  <c r="AG6" i="2"/>
  <c r="AH6" i="2" s="1"/>
  <c r="AJ6" i="2"/>
  <c r="AM6" i="2"/>
  <c r="AN6" i="2" s="1"/>
  <c r="AV6" i="2"/>
  <c r="AW6" i="2" s="1"/>
  <c r="BQ6" i="2"/>
  <c r="R6" i="2" s="1"/>
  <c r="K7" i="2"/>
  <c r="AA7" i="2"/>
  <c r="AD7" i="2"/>
  <c r="AE7" i="2" s="1"/>
  <c r="AG7" i="2"/>
  <c r="AH7" i="2" s="1"/>
  <c r="AJ7" i="2"/>
  <c r="AM7" i="2"/>
  <c r="AN7" i="2" s="1"/>
  <c r="AV7" i="2"/>
  <c r="AW7" i="2" s="1"/>
  <c r="O7" i="2"/>
  <c r="P7" i="2" s="1"/>
  <c r="BQ7" i="2"/>
  <c r="R7" i="2" s="1"/>
  <c r="AA8" i="2"/>
  <c r="AD8" i="2"/>
  <c r="AE8" i="2" s="1"/>
  <c r="AG8" i="2"/>
  <c r="AH8" i="2" s="1"/>
  <c r="AJ8" i="2"/>
  <c r="AK8" i="2" s="1"/>
  <c r="AM8" i="2"/>
  <c r="AN8" i="2" s="1"/>
  <c r="AV8" i="2"/>
  <c r="AW8" i="2" s="1"/>
  <c r="O8" i="2"/>
  <c r="P8" i="2" s="1"/>
  <c r="BQ8" i="2"/>
  <c r="R8" i="2" s="1"/>
  <c r="K9" i="2"/>
  <c r="AA9" i="2"/>
  <c r="AD9" i="2"/>
  <c r="AE9" i="2" s="1"/>
  <c r="AG9" i="2"/>
  <c r="AH9" i="2" s="1"/>
  <c r="AJ9" i="2"/>
  <c r="AM9" i="2"/>
  <c r="AN9" i="2" s="1"/>
  <c r="AV9" i="2"/>
  <c r="AW9" i="2" s="1"/>
  <c r="O9" i="2"/>
  <c r="P9" i="2" s="1"/>
  <c r="BQ9" i="2"/>
  <c r="R9" i="2" s="1"/>
  <c r="K10" i="2"/>
  <c r="AA10" i="2"/>
  <c r="AD10" i="2"/>
  <c r="AE10" i="2" s="1"/>
  <c r="AG10" i="2"/>
  <c r="AH10" i="2" s="1"/>
  <c r="AJ10" i="2"/>
  <c r="AK10" i="2" s="1"/>
  <c r="AM10" i="2"/>
  <c r="AN10" i="2" s="1"/>
  <c r="AV10" i="2"/>
  <c r="AW10" i="2" s="1"/>
  <c r="O10" i="2"/>
  <c r="P10" i="2" s="1"/>
  <c r="BQ10" i="2"/>
  <c r="R10" i="2" s="1"/>
  <c r="AA11" i="2"/>
  <c r="AD11" i="2"/>
  <c r="AE11" i="2" s="1"/>
  <c r="AG11" i="2"/>
  <c r="AH11" i="2" s="1"/>
  <c r="AJ11" i="2"/>
  <c r="AK11" i="2" s="1"/>
  <c r="AM11" i="2"/>
  <c r="AN11" i="2" s="1"/>
  <c r="AV11" i="2"/>
  <c r="AW11" i="2" s="1"/>
  <c r="BQ11" i="2"/>
  <c r="R11" i="2" s="1"/>
  <c r="K12" i="2"/>
  <c r="AA12" i="2"/>
  <c r="AD12" i="2"/>
  <c r="AE12" i="2" s="1"/>
  <c r="AG12" i="2"/>
  <c r="AJ12" i="2"/>
  <c r="AK12" i="2" s="1"/>
  <c r="AM12" i="2"/>
  <c r="AN12" i="2" s="1"/>
  <c r="AV12" i="2"/>
  <c r="AW12" i="2" s="1"/>
  <c r="O12" i="2"/>
  <c r="P12" i="2" s="1"/>
  <c r="BQ12" i="2"/>
  <c r="R12" i="2" s="1"/>
  <c r="AA13" i="2"/>
  <c r="AD13" i="2"/>
  <c r="AE13" i="2" s="1"/>
  <c r="AG13" i="2"/>
  <c r="AH13" i="2" s="1"/>
  <c r="AJ13" i="2"/>
  <c r="AK13" i="2" s="1"/>
  <c r="AM13" i="2"/>
  <c r="AN13" i="2" s="1"/>
  <c r="AV13" i="2"/>
  <c r="AW13" i="2" s="1"/>
  <c r="BQ13" i="2"/>
  <c r="R13" i="2" s="1"/>
  <c r="K14" i="2"/>
  <c r="AA14" i="2"/>
  <c r="AD14" i="2"/>
  <c r="AE14" i="2" s="1"/>
  <c r="AG14" i="2"/>
  <c r="AH14" i="2" s="1"/>
  <c r="AJ14" i="2"/>
  <c r="AK14" i="2" s="1"/>
  <c r="AM14" i="2"/>
  <c r="AN14" i="2" s="1"/>
  <c r="AV14" i="2"/>
  <c r="AW14" i="2" s="1"/>
  <c r="O14" i="2"/>
  <c r="P14" i="2" s="1"/>
  <c r="BQ14" i="2"/>
  <c r="R14" i="2" s="1"/>
  <c r="K15" i="2"/>
  <c r="AA15" i="2"/>
  <c r="AD15" i="2"/>
  <c r="AE15" i="2" s="1"/>
  <c r="AG15" i="2"/>
  <c r="AH15" i="2" s="1"/>
  <c r="AJ15" i="2"/>
  <c r="AK15" i="2" s="1"/>
  <c r="AM15" i="2"/>
  <c r="AN15" i="2" s="1"/>
  <c r="AV15" i="2"/>
  <c r="AW15" i="2" s="1"/>
  <c r="O15" i="2"/>
  <c r="P15" i="2" s="1"/>
  <c r="BQ15" i="2"/>
  <c r="R15" i="2" s="1"/>
  <c r="AA16" i="2"/>
  <c r="AD16" i="2"/>
  <c r="AG16" i="2"/>
  <c r="AH16" i="2" s="1"/>
  <c r="AJ16" i="2"/>
  <c r="AK16" i="2" s="1"/>
  <c r="AM16" i="2"/>
  <c r="AN16" i="2" s="1"/>
  <c r="AV16" i="2"/>
  <c r="AW16" i="2" s="1"/>
  <c r="O16" i="2"/>
  <c r="P16" i="2" s="1"/>
  <c r="BQ16" i="2"/>
  <c r="R16" i="2" s="1"/>
  <c r="K17" i="2"/>
  <c r="AA17" i="2"/>
  <c r="AD17" i="2"/>
  <c r="AE17" i="2" s="1"/>
  <c r="AG17" i="2"/>
  <c r="AJ17" i="2"/>
  <c r="AK17" i="2" s="1"/>
  <c r="AM17" i="2"/>
  <c r="AN17" i="2" s="1"/>
  <c r="AV17" i="2"/>
  <c r="AW17" i="2" s="1"/>
  <c r="O17" i="2"/>
  <c r="P17" i="2" s="1"/>
  <c r="BQ17" i="2"/>
  <c r="R17" i="2" s="1"/>
  <c r="K18" i="2"/>
  <c r="AA18" i="2"/>
  <c r="AD18" i="2"/>
  <c r="AE18" i="2" s="1"/>
  <c r="AG18" i="2"/>
  <c r="AH18" i="2" s="1"/>
  <c r="AJ18" i="2"/>
  <c r="AK18" i="2" s="1"/>
  <c r="AM18" i="2"/>
  <c r="AN18" i="2" s="1"/>
  <c r="AV18" i="2"/>
  <c r="AW18" i="2" s="1"/>
  <c r="O18" i="2"/>
  <c r="P18" i="2" s="1"/>
  <c r="BQ18" i="2"/>
  <c r="R18" i="2" s="1"/>
  <c r="K19" i="2"/>
  <c r="AA19" i="2"/>
  <c r="AD19" i="2"/>
  <c r="AE19" i="2" s="1"/>
  <c r="AG19" i="2"/>
  <c r="AH19" i="2" s="1"/>
  <c r="AJ19" i="2"/>
  <c r="AK19" i="2" s="1"/>
  <c r="AM19" i="2"/>
  <c r="AN19" i="2" s="1"/>
  <c r="AV19" i="2"/>
  <c r="AW19" i="2" s="1"/>
  <c r="O19" i="2"/>
  <c r="P19" i="2" s="1"/>
  <c r="BQ19" i="2"/>
  <c r="R19" i="2" s="1"/>
  <c r="AA20" i="2"/>
  <c r="AD20" i="2"/>
  <c r="AE20" i="2" s="1"/>
  <c r="AG20" i="2"/>
  <c r="AH20" i="2" s="1"/>
  <c r="AJ20" i="2"/>
  <c r="AK20" i="2" s="1"/>
  <c r="AM20" i="2"/>
  <c r="AN20" i="2" s="1"/>
  <c r="AV20" i="2"/>
  <c r="AW20" i="2" s="1"/>
  <c r="O20" i="2"/>
  <c r="P20" i="2" s="1"/>
  <c r="BQ20" i="2"/>
  <c r="R20" i="2" s="1"/>
  <c r="AA21" i="2"/>
  <c r="AD21" i="2"/>
  <c r="AE21" i="2" s="1"/>
  <c r="AG21" i="2"/>
  <c r="AH21" i="2" s="1"/>
  <c r="AJ21" i="2"/>
  <c r="AK21" i="2" s="1"/>
  <c r="AM21" i="2"/>
  <c r="AN21" i="2" s="1"/>
  <c r="AV21" i="2"/>
  <c r="AW21" i="2" s="1"/>
  <c r="O21" i="2"/>
  <c r="P21" i="2" s="1"/>
  <c r="BQ21" i="2"/>
  <c r="R21" i="2" s="1"/>
  <c r="K22" i="2"/>
  <c r="AA22" i="2"/>
  <c r="AD22" i="2"/>
  <c r="AG22" i="2"/>
  <c r="AH22" i="2" s="1"/>
  <c r="AJ22" i="2"/>
  <c r="AK22" i="2" s="1"/>
  <c r="AM22" i="2"/>
  <c r="AN22" i="2" s="1"/>
  <c r="AV22" i="2"/>
  <c r="AW22" i="2" s="1"/>
  <c r="O22" i="2"/>
  <c r="P22" i="2" s="1"/>
  <c r="BQ22" i="2"/>
  <c r="R22" i="2" s="1"/>
  <c r="AA23" i="2"/>
  <c r="AD23" i="2"/>
  <c r="AE23" i="2" s="1"/>
  <c r="AG23" i="2"/>
  <c r="AH23" i="2" s="1"/>
  <c r="AJ23" i="2"/>
  <c r="AK23" i="2" s="1"/>
  <c r="AM23" i="2"/>
  <c r="AN23" i="2" s="1"/>
  <c r="AV23" i="2"/>
  <c r="AW23" i="2" s="1"/>
  <c r="O23" i="2"/>
  <c r="P23" i="2" s="1"/>
  <c r="BQ23" i="2"/>
  <c r="R23" i="2" s="1"/>
  <c r="K24" i="2"/>
  <c r="AA24" i="2"/>
  <c r="AD24" i="2"/>
  <c r="AE24" i="2" s="1"/>
  <c r="AG24" i="2"/>
  <c r="AH24" i="2" s="1"/>
  <c r="AJ24" i="2"/>
  <c r="AK24" i="2" s="1"/>
  <c r="AM24" i="2"/>
  <c r="AN24" i="2" s="1"/>
  <c r="AV24" i="2"/>
  <c r="AW24" i="2" s="1"/>
  <c r="O24" i="2"/>
  <c r="P24" i="2" s="1"/>
  <c r="BQ24" i="2"/>
  <c r="R24" i="2" s="1"/>
  <c r="K25" i="2"/>
  <c r="AA25" i="2"/>
  <c r="AD25" i="2"/>
  <c r="AE25" i="2" s="1"/>
  <c r="AG25" i="2"/>
  <c r="AH25" i="2" s="1"/>
  <c r="AJ25" i="2"/>
  <c r="AK25" i="2" s="1"/>
  <c r="AM25" i="2"/>
  <c r="AN25" i="2" s="1"/>
  <c r="AV25" i="2"/>
  <c r="AW25" i="2" s="1"/>
  <c r="O25" i="2"/>
  <c r="P25" i="2" s="1"/>
  <c r="BQ25" i="2"/>
  <c r="R25" i="2" s="1"/>
  <c r="K26" i="2"/>
  <c r="AA26" i="2"/>
  <c r="AD26" i="2"/>
  <c r="AE26" i="2" s="1"/>
  <c r="AG26" i="2"/>
  <c r="AH26" i="2" s="1"/>
  <c r="AJ26" i="2"/>
  <c r="AK26" i="2" s="1"/>
  <c r="AM26" i="2"/>
  <c r="AN26" i="2" s="1"/>
  <c r="AV26" i="2"/>
  <c r="AW26" i="2" s="1"/>
  <c r="O26" i="2"/>
  <c r="P26" i="2" s="1"/>
  <c r="BQ26" i="2"/>
  <c r="R26" i="2" s="1"/>
  <c r="K27" i="2"/>
  <c r="AA27" i="2"/>
  <c r="AD27" i="2"/>
  <c r="AE27" i="2" s="1"/>
  <c r="AG27" i="2"/>
  <c r="AH27" i="2" s="1"/>
  <c r="AJ27" i="2"/>
  <c r="AK27" i="2" s="1"/>
  <c r="AM27" i="2"/>
  <c r="AN27" i="2" s="1"/>
  <c r="AV27" i="2"/>
  <c r="AW27" i="2" s="1"/>
  <c r="O27" i="2"/>
  <c r="P27" i="2" s="1"/>
  <c r="BQ27" i="2"/>
  <c r="R27" i="2" s="1"/>
  <c r="K28" i="2"/>
  <c r="AA28" i="2"/>
  <c r="AD28" i="2"/>
  <c r="AE28" i="2" s="1"/>
  <c r="AG28" i="2"/>
  <c r="AH28" i="2" s="1"/>
  <c r="AJ28" i="2"/>
  <c r="AK28" i="2" s="1"/>
  <c r="AM28" i="2"/>
  <c r="AN28" i="2" s="1"/>
  <c r="AV28" i="2"/>
  <c r="AW28" i="2" s="1"/>
  <c r="O28" i="2"/>
  <c r="P28" i="2" s="1"/>
  <c r="BQ28" i="2"/>
  <c r="R28" i="2" s="1"/>
  <c r="AA29" i="2"/>
  <c r="AD29" i="2"/>
  <c r="AG29" i="2"/>
  <c r="AH29" i="2" s="1"/>
  <c r="AJ29" i="2"/>
  <c r="AK29" i="2" s="1"/>
  <c r="AM29" i="2"/>
  <c r="AN29" i="2" s="1"/>
  <c r="AV29" i="2"/>
  <c r="AW29" i="2" s="1"/>
  <c r="O29" i="2"/>
  <c r="P29" i="2" s="1"/>
  <c r="BQ29" i="2"/>
  <c r="R29" i="2" s="1"/>
  <c r="AA30" i="2"/>
  <c r="AD30" i="2"/>
  <c r="AE30" i="2" s="1"/>
  <c r="AG30" i="2"/>
  <c r="AH30" i="2" s="1"/>
  <c r="AJ30" i="2"/>
  <c r="AK30" i="2" s="1"/>
  <c r="AM30" i="2"/>
  <c r="AN30" i="2" s="1"/>
  <c r="AV30" i="2"/>
  <c r="AW30" i="2" s="1"/>
  <c r="BQ30" i="2"/>
  <c r="R30" i="2" s="1"/>
  <c r="K31" i="2"/>
  <c r="AA31" i="2"/>
  <c r="AD31" i="2"/>
  <c r="AE31" i="2" s="1"/>
  <c r="AG31" i="2"/>
  <c r="AH31" i="2" s="1"/>
  <c r="AJ31" i="2"/>
  <c r="AK31" i="2" s="1"/>
  <c r="AM31" i="2"/>
  <c r="AN31" i="2" s="1"/>
  <c r="AV31" i="2"/>
  <c r="AW31" i="2" s="1"/>
  <c r="O31" i="2"/>
  <c r="P31" i="2" s="1"/>
  <c r="BQ31" i="2"/>
  <c r="R31" i="2" s="1"/>
  <c r="K32" i="2"/>
  <c r="AA32" i="2"/>
  <c r="AD32" i="2"/>
  <c r="AG32" i="2"/>
  <c r="AH32" i="2" s="1"/>
  <c r="AJ32" i="2"/>
  <c r="AK32" i="2" s="1"/>
  <c r="AM32" i="2"/>
  <c r="AN32" i="2" s="1"/>
  <c r="AV32" i="2"/>
  <c r="AW32" i="2" s="1"/>
  <c r="BQ32" i="2"/>
  <c r="R32" i="2" s="1"/>
  <c r="K33" i="2"/>
  <c r="AA33" i="2"/>
  <c r="AD33" i="2"/>
  <c r="AE33" i="2" s="1"/>
  <c r="AG33" i="2"/>
  <c r="AH33" i="2" s="1"/>
  <c r="AJ33" i="2"/>
  <c r="AK33" i="2" s="1"/>
  <c r="AM33" i="2"/>
  <c r="AN33" i="2" s="1"/>
  <c r="AV33" i="2"/>
  <c r="AW33" i="2" s="1"/>
  <c r="O33" i="2"/>
  <c r="P33" i="2" s="1"/>
  <c r="BQ33" i="2"/>
  <c r="R33" i="2" s="1"/>
  <c r="K34" i="2"/>
  <c r="AA34" i="2"/>
  <c r="AD34" i="2"/>
  <c r="AE34" i="2" s="1"/>
  <c r="AG34" i="2"/>
  <c r="AH34" i="2" s="1"/>
  <c r="AJ34" i="2"/>
  <c r="AK34" i="2" s="1"/>
  <c r="AM34" i="2"/>
  <c r="AN34" i="2" s="1"/>
  <c r="AV34" i="2"/>
  <c r="AW34" i="2" s="1"/>
  <c r="O34" i="2"/>
  <c r="P34" i="2" s="1"/>
  <c r="BQ34" i="2"/>
  <c r="R34" i="2" s="1"/>
  <c r="K35" i="2"/>
  <c r="AA35" i="2"/>
  <c r="AD35" i="2"/>
  <c r="AE35" i="2" s="1"/>
  <c r="AG35" i="2"/>
  <c r="AH35" i="2" s="1"/>
  <c r="AJ35" i="2"/>
  <c r="AK35" i="2" s="1"/>
  <c r="AM35" i="2"/>
  <c r="AN35" i="2" s="1"/>
  <c r="AV35" i="2"/>
  <c r="AW35" i="2" s="1"/>
  <c r="O35" i="2"/>
  <c r="P35" i="2" s="1"/>
  <c r="BQ35" i="2"/>
  <c r="R35" i="2" s="1"/>
  <c r="AA36" i="2"/>
  <c r="AD36" i="2"/>
  <c r="AE36" i="2" s="1"/>
  <c r="AG36" i="2"/>
  <c r="AJ36" i="2"/>
  <c r="AK36" i="2" s="1"/>
  <c r="AM36" i="2"/>
  <c r="AN36" i="2" s="1"/>
  <c r="AV36" i="2"/>
  <c r="AW36" i="2" s="1"/>
  <c r="O36" i="2"/>
  <c r="P36" i="2" s="1"/>
  <c r="BQ36" i="2"/>
  <c r="R36" i="2" s="1"/>
  <c r="K37" i="2"/>
  <c r="AA37" i="2"/>
  <c r="AD37" i="2"/>
  <c r="AE37" i="2" s="1"/>
  <c r="AG37" i="2"/>
  <c r="AH37" i="2" s="1"/>
  <c r="AJ37" i="2"/>
  <c r="AK37" i="2" s="1"/>
  <c r="AM37" i="2"/>
  <c r="AN37" i="2" s="1"/>
  <c r="AV37" i="2"/>
  <c r="AW37" i="2" s="1"/>
  <c r="O37" i="2"/>
  <c r="P37" i="2" s="1"/>
  <c r="BQ37" i="2"/>
  <c r="R37" i="2" s="1"/>
  <c r="K38" i="2"/>
  <c r="AA38" i="2"/>
  <c r="AD38" i="2"/>
  <c r="AG38" i="2"/>
  <c r="AH38" i="2" s="1"/>
  <c r="AJ38" i="2"/>
  <c r="AK38" i="2" s="1"/>
  <c r="AM38" i="2"/>
  <c r="AN38" i="2" s="1"/>
  <c r="AV38" i="2"/>
  <c r="AW38" i="2" s="1"/>
  <c r="O38" i="2"/>
  <c r="P38" i="2" s="1"/>
  <c r="BQ38" i="2"/>
  <c r="R38" i="2" s="1"/>
  <c r="AA39" i="2"/>
  <c r="AD39" i="2"/>
  <c r="AE39" i="2" s="1"/>
  <c r="AG39" i="2"/>
  <c r="AH39" i="2" s="1"/>
  <c r="AJ39" i="2"/>
  <c r="AK39" i="2" s="1"/>
  <c r="AM39" i="2"/>
  <c r="AV39" i="2"/>
  <c r="AW39" i="2" s="1"/>
  <c r="BQ39" i="2"/>
  <c r="R39" i="2" s="1"/>
  <c r="K40" i="2"/>
  <c r="AA40" i="2"/>
  <c r="AD40" i="2"/>
  <c r="AE40" i="2" s="1"/>
  <c r="AG40" i="2"/>
  <c r="AH40" i="2" s="1"/>
  <c r="AJ40" i="2"/>
  <c r="AK40" i="2" s="1"/>
  <c r="AM40" i="2"/>
  <c r="AN40" i="2" s="1"/>
  <c r="AV40" i="2"/>
  <c r="AW40" i="2" s="1"/>
  <c r="O40" i="2"/>
  <c r="P40" i="2" s="1"/>
  <c r="BQ40" i="2"/>
  <c r="R40" i="2" s="1"/>
  <c r="K41" i="2"/>
  <c r="AA41" i="2"/>
  <c r="AD41" i="2"/>
  <c r="AE41" i="2" s="1"/>
  <c r="AG41" i="2"/>
  <c r="AH41" i="2" s="1"/>
  <c r="AJ41" i="2"/>
  <c r="AK41" i="2" s="1"/>
  <c r="AM41" i="2"/>
  <c r="AN41" i="2" s="1"/>
  <c r="AV41" i="2"/>
  <c r="AW41" i="2" s="1"/>
  <c r="O41" i="2"/>
  <c r="P41" i="2" s="1"/>
  <c r="BQ41" i="2"/>
  <c r="R41" i="2" s="1"/>
  <c r="AA42" i="2"/>
  <c r="AD42" i="2"/>
  <c r="AE42" i="2" s="1"/>
  <c r="AG42" i="2"/>
  <c r="AH42" i="2" s="1"/>
  <c r="AJ42" i="2"/>
  <c r="AK42" i="2" s="1"/>
  <c r="AM42" i="2"/>
  <c r="AN42" i="2" s="1"/>
  <c r="AV42" i="2"/>
  <c r="AW42" i="2" s="1"/>
  <c r="O42" i="2"/>
  <c r="P42" i="2" s="1"/>
  <c r="BQ42" i="2"/>
  <c r="R42" i="2" s="1"/>
  <c r="K43" i="2"/>
  <c r="AA43" i="2"/>
  <c r="AD43" i="2"/>
  <c r="AE43" i="2" s="1"/>
  <c r="AG43" i="2"/>
  <c r="AH43" i="2" s="1"/>
  <c r="AJ43" i="2"/>
  <c r="AK43" i="2" s="1"/>
  <c r="AM43" i="2"/>
  <c r="AN43" i="2" s="1"/>
  <c r="AV43" i="2"/>
  <c r="AW43" i="2" s="1"/>
  <c r="BQ43" i="2"/>
  <c r="R43" i="2" s="1"/>
  <c r="AA44" i="2"/>
  <c r="AD44" i="2"/>
  <c r="AG44" i="2"/>
  <c r="AH44" i="2" s="1"/>
  <c r="AJ44" i="2"/>
  <c r="AK44" i="2" s="1"/>
  <c r="AM44" i="2"/>
  <c r="AN44" i="2" s="1"/>
  <c r="AV44" i="2"/>
  <c r="AW44" i="2" s="1"/>
  <c r="O44" i="2"/>
  <c r="P44" i="2" s="1"/>
  <c r="BQ44" i="2"/>
  <c r="R44" i="2" s="1"/>
  <c r="K45" i="2"/>
  <c r="AA45" i="2"/>
  <c r="AD45" i="2"/>
  <c r="AG45" i="2"/>
  <c r="AH45" i="2" s="1"/>
  <c r="AJ45" i="2"/>
  <c r="AK45" i="2" s="1"/>
  <c r="AM45" i="2"/>
  <c r="AN45" i="2" s="1"/>
  <c r="AV45" i="2"/>
  <c r="AW45" i="2" s="1"/>
  <c r="O45" i="2"/>
  <c r="P45" i="2" s="1"/>
  <c r="BQ45" i="2"/>
  <c r="R45" i="2" s="1"/>
  <c r="K46" i="2"/>
  <c r="AA46" i="2"/>
  <c r="AD46" i="2"/>
  <c r="AE46" i="2" s="1"/>
  <c r="AG46" i="2"/>
  <c r="AH46" i="2" s="1"/>
  <c r="AJ46" i="2"/>
  <c r="AK46" i="2" s="1"/>
  <c r="AM46" i="2"/>
  <c r="AN46" i="2" s="1"/>
  <c r="AV46" i="2"/>
  <c r="AW46" i="2" s="1"/>
  <c r="O46" i="2"/>
  <c r="P46" i="2" s="1"/>
  <c r="BQ46" i="2"/>
  <c r="R46" i="2" s="1"/>
  <c r="K47" i="2"/>
  <c r="AA47" i="2"/>
  <c r="AD47" i="2"/>
  <c r="AE47" i="2" s="1"/>
  <c r="AG47" i="2"/>
  <c r="AH47" i="2" s="1"/>
  <c r="AJ47" i="2"/>
  <c r="AK47" i="2" s="1"/>
  <c r="AM47" i="2"/>
  <c r="AN47" i="2" s="1"/>
  <c r="AV47" i="2"/>
  <c r="AW47" i="2" s="1"/>
  <c r="BQ47" i="2"/>
  <c r="R47" i="2" s="1"/>
  <c r="K48" i="2"/>
  <c r="AA48" i="2"/>
  <c r="AD48" i="2"/>
  <c r="AE48" i="2" s="1"/>
  <c r="AG48" i="2"/>
  <c r="AH48" i="2" s="1"/>
  <c r="AJ48" i="2"/>
  <c r="AK48" i="2" s="1"/>
  <c r="AM48" i="2"/>
  <c r="AN48" i="2" s="1"/>
  <c r="AV48" i="2"/>
  <c r="AW48" i="2" s="1"/>
  <c r="O48" i="2"/>
  <c r="P48" i="2" s="1"/>
  <c r="BQ48" i="2"/>
  <c r="R48" i="2" s="1"/>
  <c r="K49" i="2"/>
  <c r="AA49" i="2"/>
  <c r="AD49" i="2"/>
  <c r="AE49" i="2" s="1"/>
  <c r="AG49" i="2"/>
  <c r="AH49" i="2" s="1"/>
  <c r="AJ49" i="2"/>
  <c r="AK49" i="2" s="1"/>
  <c r="AM49" i="2"/>
  <c r="AN49" i="2" s="1"/>
  <c r="AV49" i="2"/>
  <c r="AW49" i="2" s="1"/>
  <c r="BQ49" i="2"/>
  <c r="R49" i="2" s="1"/>
  <c r="K50" i="2"/>
  <c r="AA50" i="2"/>
  <c r="AD50" i="2"/>
  <c r="AE50" i="2" s="1"/>
  <c r="AG50" i="2"/>
  <c r="AH50" i="2" s="1"/>
  <c r="AJ50" i="2"/>
  <c r="AM50" i="2"/>
  <c r="AN50" i="2" s="1"/>
  <c r="AV50" i="2"/>
  <c r="AW50" i="2" s="1"/>
  <c r="BQ50" i="2"/>
  <c r="R50" i="2" s="1"/>
  <c r="K51" i="2"/>
  <c r="AA51" i="2"/>
  <c r="AD51" i="2"/>
  <c r="AE51" i="2" s="1"/>
  <c r="AG51" i="2"/>
  <c r="AH51" i="2" s="1"/>
  <c r="AJ51" i="2"/>
  <c r="AK51" i="2" s="1"/>
  <c r="AM51" i="2"/>
  <c r="AN51" i="2" s="1"/>
  <c r="AV51" i="2"/>
  <c r="AW51" i="2" s="1"/>
  <c r="O51" i="2"/>
  <c r="P51" i="2" s="1"/>
  <c r="BQ51" i="2"/>
  <c r="R51" i="2" s="1"/>
  <c r="AA52" i="2"/>
  <c r="AD52" i="2"/>
  <c r="AG52" i="2"/>
  <c r="AH52" i="2" s="1"/>
  <c r="AJ52" i="2"/>
  <c r="AK52" i="2" s="1"/>
  <c r="AM52" i="2"/>
  <c r="AN52" i="2" s="1"/>
  <c r="AV52" i="2"/>
  <c r="AW52" i="2" s="1"/>
  <c r="O52" i="2"/>
  <c r="P52" i="2" s="1"/>
  <c r="BQ52" i="2"/>
  <c r="R52" i="2" s="1"/>
  <c r="AA53" i="2"/>
  <c r="AD53" i="2"/>
  <c r="AE53" i="2" s="1"/>
  <c r="AG53" i="2"/>
  <c r="AH53" i="2" s="1"/>
  <c r="AJ53" i="2"/>
  <c r="AK53" i="2" s="1"/>
  <c r="AM53" i="2"/>
  <c r="AN53" i="2" s="1"/>
  <c r="AV53" i="2"/>
  <c r="AW53" i="2" s="1"/>
  <c r="O53" i="2"/>
  <c r="P53" i="2" s="1"/>
  <c r="BQ53" i="2"/>
  <c r="R53" i="2" s="1"/>
  <c r="K54" i="2"/>
  <c r="AA54" i="2"/>
  <c r="AD54" i="2"/>
  <c r="AE54" i="2" s="1"/>
  <c r="AG54" i="2"/>
  <c r="AH54" i="2" s="1"/>
  <c r="AJ54" i="2"/>
  <c r="AK54" i="2" s="1"/>
  <c r="AM54" i="2"/>
  <c r="AN54" i="2" s="1"/>
  <c r="AV54" i="2"/>
  <c r="AW54" i="2" s="1"/>
  <c r="O54" i="2"/>
  <c r="P54" i="2" s="1"/>
  <c r="BQ54" i="2"/>
  <c r="R54" i="2" s="1"/>
  <c r="AA55" i="2"/>
  <c r="AD55" i="2"/>
  <c r="AE55" i="2" s="1"/>
  <c r="AG55" i="2"/>
  <c r="AJ55" i="2"/>
  <c r="AK55" i="2" s="1"/>
  <c r="AM55" i="2"/>
  <c r="AN55" i="2" s="1"/>
  <c r="AV55" i="2"/>
  <c r="AW55" i="2" s="1"/>
  <c r="O55" i="2"/>
  <c r="P55" i="2" s="1"/>
  <c r="BQ55" i="2"/>
  <c r="R55" i="2" s="1"/>
  <c r="K56" i="2"/>
  <c r="AA56" i="2"/>
  <c r="AD56" i="2"/>
  <c r="AE56" i="2" s="1"/>
  <c r="AG56" i="2"/>
  <c r="AH56" i="2" s="1"/>
  <c r="AJ56" i="2"/>
  <c r="AK56" i="2" s="1"/>
  <c r="AM56" i="2"/>
  <c r="AN56" i="2" s="1"/>
  <c r="AV56" i="2"/>
  <c r="AW56" i="2" s="1"/>
  <c r="BQ56" i="2"/>
  <c r="R56" i="2" s="1"/>
  <c r="K57" i="2"/>
  <c r="AA57" i="2"/>
  <c r="AD57" i="2"/>
  <c r="AE57" i="2" s="1"/>
  <c r="AG57" i="2"/>
  <c r="AH57" i="2" s="1"/>
  <c r="AJ57" i="2"/>
  <c r="AK57" i="2" s="1"/>
  <c r="AM57" i="2"/>
  <c r="AN57" i="2" s="1"/>
  <c r="AV57" i="2"/>
  <c r="AW57" i="2" s="1"/>
  <c r="O57" i="2"/>
  <c r="P57" i="2" s="1"/>
  <c r="BQ57" i="2"/>
  <c r="R57" i="2" s="1"/>
  <c r="K58" i="2"/>
  <c r="AA58" i="2"/>
  <c r="AD58" i="2"/>
  <c r="AE58" i="2" s="1"/>
  <c r="AG58" i="2"/>
  <c r="AH58" i="2" s="1"/>
  <c r="AJ58" i="2"/>
  <c r="AM58" i="2"/>
  <c r="AN58" i="2" s="1"/>
  <c r="AV58" i="2"/>
  <c r="AW58" i="2" s="1"/>
  <c r="O58" i="2"/>
  <c r="P58" i="2" s="1"/>
  <c r="BQ58" i="2"/>
  <c r="R58" i="2" s="1"/>
  <c r="K59" i="2"/>
  <c r="AA59" i="2"/>
  <c r="AD59" i="2"/>
  <c r="AE59" i="2" s="1"/>
  <c r="AG59" i="2"/>
  <c r="AH59" i="2" s="1"/>
  <c r="AJ59" i="2"/>
  <c r="AK59" i="2" s="1"/>
  <c r="AM59" i="2"/>
  <c r="AN59" i="2" s="1"/>
  <c r="AV59" i="2"/>
  <c r="AW59" i="2" s="1"/>
  <c r="O59" i="2"/>
  <c r="P59" i="2" s="1"/>
  <c r="BQ59" i="2"/>
  <c r="R59" i="2" s="1"/>
  <c r="K60" i="2"/>
  <c r="AA60" i="2"/>
  <c r="AD60" i="2"/>
  <c r="AG60" i="2"/>
  <c r="AH60" i="2" s="1"/>
  <c r="AJ60" i="2"/>
  <c r="AK60" i="2" s="1"/>
  <c r="AM60" i="2"/>
  <c r="AN60" i="2" s="1"/>
  <c r="AV60" i="2"/>
  <c r="AW60" i="2" s="1"/>
  <c r="O60" i="2"/>
  <c r="P60" i="2" s="1"/>
  <c r="BQ60" i="2"/>
  <c r="R60" i="2" s="1"/>
  <c r="AA61" i="2"/>
  <c r="AD61" i="2"/>
  <c r="AG61" i="2"/>
  <c r="AH61" i="2" s="1"/>
  <c r="AJ61" i="2"/>
  <c r="AK61" i="2" s="1"/>
  <c r="AM61" i="2"/>
  <c r="AN61" i="2" s="1"/>
  <c r="AV61" i="2"/>
  <c r="AW61" i="2" s="1"/>
  <c r="O61" i="2"/>
  <c r="P61" i="2" s="1"/>
  <c r="BQ61" i="2"/>
  <c r="R61" i="2" s="1"/>
  <c r="K62" i="2"/>
  <c r="AA62" i="2"/>
  <c r="AD62" i="2"/>
  <c r="AE62" i="2" s="1"/>
  <c r="AG62" i="2"/>
  <c r="AH62" i="2" s="1"/>
  <c r="AJ62" i="2"/>
  <c r="AK62" i="2" s="1"/>
  <c r="AM62" i="2"/>
  <c r="AN62" i="2" s="1"/>
  <c r="AV62" i="2"/>
  <c r="AW62" i="2" s="1"/>
  <c r="O62" i="2"/>
  <c r="P62" i="2" s="1"/>
  <c r="BQ62" i="2"/>
  <c r="R62" i="2" s="1"/>
  <c r="K63" i="2"/>
  <c r="AA63" i="2"/>
  <c r="AD63" i="2"/>
  <c r="AE63" i="2" s="1"/>
  <c r="AG63" i="2"/>
  <c r="AJ63" i="2"/>
  <c r="AK63" i="2" s="1"/>
  <c r="AM63" i="2"/>
  <c r="AN63" i="2" s="1"/>
  <c r="AV63" i="2"/>
  <c r="AW63" i="2" s="1"/>
  <c r="O63" i="2"/>
  <c r="P63" i="2" s="1"/>
  <c r="BQ63" i="2"/>
  <c r="R63" i="2" s="1"/>
  <c r="K64" i="2"/>
  <c r="AA64" i="2"/>
  <c r="AD64" i="2"/>
  <c r="AE64" i="2" s="1"/>
  <c r="AG64" i="2"/>
  <c r="AH64" i="2" s="1"/>
  <c r="AJ64" i="2"/>
  <c r="AK64" i="2" s="1"/>
  <c r="AM64" i="2"/>
  <c r="AN64" i="2" s="1"/>
  <c r="AV64" i="2"/>
  <c r="AW64" i="2" s="1"/>
  <c r="O64" i="2"/>
  <c r="P64" i="2" s="1"/>
  <c r="BQ64" i="2"/>
  <c r="R64" i="2" s="1"/>
  <c r="K65" i="2"/>
  <c r="AA65" i="2"/>
  <c r="AD65" i="2"/>
  <c r="AE65" i="2" s="1"/>
  <c r="AG65" i="2"/>
  <c r="AH65" i="2" s="1"/>
  <c r="AJ65" i="2"/>
  <c r="AK65" i="2" s="1"/>
  <c r="AM65" i="2"/>
  <c r="AN65" i="2" s="1"/>
  <c r="AV65" i="2"/>
  <c r="AW65" i="2" s="1"/>
  <c r="O65" i="2"/>
  <c r="P65" i="2" s="1"/>
  <c r="BQ65" i="2"/>
  <c r="R65" i="2" s="1"/>
  <c r="K66" i="2"/>
  <c r="AA66" i="2"/>
  <c r="AD66" i="2"/>
  <c r="AE66" i="2" s="1"/>
  <c r="AG66" i="2"/>
  <c r="AH66" i="2" s="1"/>
  <c r="AJ66" i="2"/>
  <c r="AM66" i="2"/>
  <c r="AN66" i="2" s="1"/>
  <c r="AV66" i="2"/>
  <c r="AW66" i="2" s="1"/>
  <c r="O66" i="2"/>
  <c r="P66" i="2" s="1"/>
  <c r="BQ66" i="2"/>
  <c r="R66" i="2" s="1"/>
  <c r="K67" i="2"/>
  <c r="AA67" i="2"/>
  <c r="AD67" i="2"/>
  <c r="AE67" i="2" s="1"/>
  <c r="AG67" i="2"/>
  <c r="AH67" i="2" s="1"/>
  <c r="AJ67" i="2"/>
  <c r="AK67" i="2" s="1"/>
  <c r="AM67" i="2"/>
  <c r="AN67" i="2" s="1"/>
  <c r="AV67" i="2"/>
  <c r="AW67" i="2" s="1"/>
  <c r="BQ67" i="2"/>
  <c r="R67" i="2" s="1"/>
  <c r="BQ3" i="2"/>
  <c r="R3" i="2" s="1"/>
  <c r="F8" i="11" s="1"/>
  <c r="AE3" i="2"/>
  <c r="AK3" i="2"/>
  <c r="AN3" i="2"/>
  <c r="F7" i="11" l="1"/>
  <c r="M19" i="2"/>
  <c r="N19" i="2" s="1"/>
  <c r="M49" i="2"/>
  <c r="N49" i="2" s="1"/>
  <c r="M65" i="2"/>
  <c r="I65" i="2" s="1"/>
  <c r="J65" i="2" s="1"/>
  <c r="M58" i="2"/>
  <c r="N58" i="2" s="1"/>
  <c r="M32" i="2"/>
  <c r="N32" i="2" s="1"/>
  <c r="M20" i="2"/>
  <c r="N20" i="2" s="1"/>
  <c r="M18" i="2"/>
  <c r="I18" i="2" s="1"/>
  <c r="M63" i="2"/>
  <c r="N63" i="2" s="1"/>
  <c r="M56" i="2"/>
  <c r="N56" i="2" s="1"/>
  <c r="M27" i="2"/>
  <c r="I27" i="2" s="1"/>
  <c r="M17" i="2"/>
  <c r="I17" i="2" s="1"/>
  <c r="M25" i="2"/>
  <c r="I25" i="2" s="1"/>
  <c r="M11" i="2"/>
  <c r="N11" i="2" s="1"/>
  <c r="M61" i="2"/>
  <c r="N61" i="2" s="1"/>
  <c r="M36" i="2"/>
  <c r="N36" i="2" s="1"/>
  <c r="M15" i="2"/>
  <c r="I15" i="2" s="1"/>
  <c r="M9" i="2"/>
  <c r="I9" i="2" s="1"/>
  <c r="J9" i="2" s="1"/>
  <c r="M41" i="2"/>
  <c r="I41" i="2" s="1"/>
  <c r="M34" i="2"/>
  <c r="I34" i="2" s="1"/>
  <c r="M43" i="2"/>
  <c r="N43" i="2" s="1"/>
  <c r="M66" i="2"/>
  <c r="I66" i="2" s="1"/>
  <c r="M59" i="2"/>
  <c r="I59" i="2" s="1"/>
  <c r="M50" i="2"/>
  <c r="N50" i="2" s="1"/>
  <c r="M39" i="2"/>
  <c r="N39" i="2" s="1"/>
  <c r="M30" i="2"/>
  <c r="N30" i="2" s="1"/>
  <c r="M23" i="2"/>
  <c r="N23" i="2" s="1"/>
  <c r="M52" i="2"/>
  <c r="N52" i="2" s="1"/>
  <c r="M48" i="2"/>
  <c r="I48" i="2" s="1"/>
  <c r="J48" i="2" s="1"/>
  <c r="M28" i="2"/>
  <c r="N28" i="2" s="1"/>
  <c r="M13" i="2"/>
  <c r="N13" i="2" s="1"/>
  <c r="M7" i="2"/>
  <c r="I7" i="2" s="1"/>
  <c r="M64" i="2"/>
  <c r="I64" i="2" s="1"/>
  <c r="M46" i="2"/>
  <c r="I46" i="2" s="1"/>
  <c r="M37" i="2"/>
  <c r="I37" i="2" s="1"/>
  <c r="M57" i="2"/>
  <c r="I57" i="2" s="1"/>
  <c r="M5" i="2"/>
  <c r="I5" i="2" s="1"/>
  <c r="M62" i="2"/>
  <c r="I62" i="2" s="1"/>
  <c r="M55" i="2"/>
  <c r="N55" i="2" s="1"/>
  <c r="M26" i="2"/>
  <c r="I26" i="2" s="1"/>
  <c r="M54" i="2"/>
  <c r="I54" i="2" s="1"/>
  <c r="M16" i="2"/>
  <c r="N16" i="2" s="1"/>
  <c r="M12" i="2"/>
  <c r="N12" i="2" s="1"/>
  <c r="M10" i="2"/>
  <c r="I10" i="2" s="1"/>
  <c r="M67" i="2"/>
  <c r="M53" i="2"/>
  <c r="N53" i="2" s="1"/>
  <c r="M44" i="2"/>
  <c r="N44" i="2" s="1"/>
  <c r="M35" i="2"/>
  <c r="I35" i="2" s="1"/>
  <c r="M24" i="2"/>
  <c r="I24" i="2" s="1"/>
  <c r="M60" i="2"/>
  <c r="I60" i="2" s="1"/>
  <c r="J60" i="2" s="1"/>
  <c r="M51" i="2"/>
  <c r="N51" i="2" s="1"/>
  <c r="M42" i="2"/>
  <c r="N42" i="2" s="1"/>
  <c r="M40" i="2"/>
  <c r="I40" i="2" s="1"/>
  <c r="M38" i="2"/>
  <c r="N38" i="2" s="1"/>
  <c r="M31" i="2"/>
  <c r="I31" i="2" s="1"/>
  <c r="M29" i="2"/>
  <c r="N29" i="2" s="1"/>
  <c r="M8" i="2"/>
  <c r="N8" i="2" s="1"/>
  <c r="M45" i="2"/>
  <c r="I45" i="2" s="1"/>
  <c r="M47" i="2"/>
  <c r="N47" i="2" s="1"/>
  <c r="M33" i="2"/>
  <c r="I33" i="2" s="1"/>
  <c r="M22" i="2"/>
  <c r="I22" i="2" s="1"/>
  <c r="M21" i="2"/>
  <c r="N21" i="2" s="1"/>
  <c r="M14" i="2"/>
  <c r="I14" i="2" s="1"/>
  <c r="E7" i="11"/>
  <c r="B153" i="4"/>
  <c r="G153" i="4" s="1"/>
  <c r="B155" i="4"/>
  <c r="G155" i="4" s="1"/>
  <c r="B190" i="4"/>
  <c r="G190" i="4" s="1"/>
  <c r="B199" i="4"/>
  <c r="G199" i="4" s="1"/>
  <c r="B176" i="4"/>
  <c r="G176" i="4" s="1"/>
  <c r="B195" i="4"/>
  <c r="G195" i="4" s="1"/>
  <c r="B163" i="4"/>
  <c r="G163" i="4" s="1"/>
  <c r="B169" i="4"/>
  <c r="G169" i="4" s="1"/>
  <c r="B171" i="4"/>
  <c r="G171" i="4" s="1"/>
  <c r="B192" i="4"/>
  <c r="G192" i="4" s="1"/>
  <c r="B168" i="4"/>
  <c r="G168" i="4" s="1"/>
  <c r="B151" i="4"/>
  <c r="G151" i="4" s="1"/>
  <c r="B150" i="4"/>
  <c r="G150" i="4" s="1"/>
  <c r="B133" i="4"/>
  <c r="G133" i="4" s="1"/>
  <c r="B185" i="4"/>
  <c r="G185" i="4" s="1"/>
  <c r="B187" i="4"/>
  <c r="G187" i="4" s="1"/>
  <c r="B164" i="4"/>
  <c r="G164" i="4" s="1"/>
  <c r="B147" i="4"/>
  <c r="G147" i="4" s="1"/>
  <c r="B167" i="4"/>
  <c r="G167" i="4" s="1"/>
  <c r="B149" i="4"/>
  <c r="G149" i="4" s="1"/>
  <c r="B158" i="4"/>
  <c r="G158" i="4" s="1"/>
  <c r="B156" i="4"/>
  <c r="G156" i="4" s="1"/>
  <c r="B166" i="4"/>
  <c r="G166" i="4" s="1"/>
  <c r="B182" i="4"/>
  <c r="G182" i="4" s="1"/>
  <c r="B135" i="4"/>
  <c r="G135" i="4" s="1"/>
  <c r="B180" i="4"/>
  <c r="G180" i="4" s="1"/>
  <c r="B139" i="4"/>
  <c r="G139" i="4" s="1"/>
  <c r="B198" i="4"/>
  <c r="G198" i="4" s="1"/>
  <c r="B143" i="4"/>
  <c r="G143" i="4" s="1"/>
  <c r="B146" i="4"/>
  <c r="G146" i="4" s="1"/>
  <c r="B159" i="4"/>
  <c r="G159" i="4" s="1"/>
  <c r="B162" i="4"/>
  <c r="G162" i="4" s="1"/>
  <c r="B136" i="4"/>
  <c r="G136" i="4" s="1"/>
  <c r="B165" i="4"/>
  <c r="G165" i="4" s="1"/>
  <c r="B184" i="4"/>
  <c r="G184" i="4" s="1"/>
  <c r="B138" i="4"/>
  <c r="G138" i="4" s="1"/>
  <c r="B140" i="4"/>
  <c r="G140" i="4" s="1"/>
  <c r="B175" i="4"/>
  <c r="G175" i="4" s="1"/>
  <c r="B178" i="4"/>
  <c r="G178" i="4" s="1"/>
  <c r="B181" i="4"/>
  <c r="G181" i="4" s="1"/>
  <c r="B154" i="4"/>
  <c r="G154" i="4" s="1"/>
  <c r="B188" i="4"/>
  <c r="G188" i="4" s="1"/>
  <c r="B152" i="4"/>
  <c r="G152" i="4" s="1"/>
  <c r="B191" i="4"/>
  <c r="G191" i="4" s="1"/>
  <c r="B194" i="4"/>
  <c r="G194" i="4" s="1"/>
  <c r="B197" i="4"/>
  <c r="G197" i="4" s="1"/>
  <c r="B170" i="4"/>
  <c r="G170" i="4" s="1"/>
  <c r="B142" i="4"/>
  <c r="G142" i="4" s="1"/>
  <c r="B179" i="4"/>
  <c r="G179" i="4" s="1"/>
  <c r="B183" i="4"/>
  <c r="G183" i="4" s="1"/>
  <c r="B161" i="4"/>
  <c r="G161" i="4" s="1"/>
  <c r="B186" i="4"/>
  <c r="G186" i="4" s="1"/>
  <c r="B174" i="4"/>
  <c r="G174" i="4" s="1"/>
  <c r="B200" i="4"/>
  <c r="G200" i="4" s="1"/>
  <c r="B172" i="4"/>
  <c r="G172" i="4" s="1"/>
  <c r="B141" i="4"/>
  <c r="G141" i="4" s="1"/>
  <c r="B145" i="4"/>
  <c r="G145" i="4" s="1"/>
  <c r="B148" i="4"/>
  <c r="G148" i="4" s="1"/>
  <c r="B157" i="4"/>
  <c r="G157" i="4" s="1"/>
  <c r="B196" i="4"/>
  <c r="G196" i="4" s="1"/>
  <c r="B160" i="4"/>
  <c r="G160" i="4" s="1"/>
  <c r="B173" i="4"/>
  <c r="G173" i="4" s="1"/>
  <c r="B177" i="4"/>
  <c r="G177" i="4" s="1"/>
  <c r="B134" i="4"/>
  <c r="G134" i="4" s="1"/>
  <c r="B189" i="4"/>
  <c r="G189" i="4" s="1"/>
  <c r="B144" i="4"/>
  <c r="G144" i="4" s="1"/>
  <c r="B193" i="4"/>
  <c r="G193" i="4" s="1"/>
  <c r="B137" i="4"/>
  <c r="G137" i="4" s="1"/>
  <c r="M2" i="3" a="1"/>
  <c r="M2" i="3" s="1"/>
  <c r="A3" i="4" a="1"/>
  <c r="B126" i="4" s="1"/>
  <c r="A4" i="12" a="1"/>
  <c r="A4" i="12" s="1"/>
  <c r="A3" i="6" a="1"/>
  <c r="AK6" i="2"/>
  <c r="M6" i="2"/>
  <c r="BB4" i="2"/>
  <c r="M4" i="2"/>
  <c r="M3" i="2"/>
  <c r="I3" i="2" s="1"/>
  <c r="O6" i="2"/>
  <c r="P6" i="2" s="1"/>
  <c r="AW3" i="2"/>
  <c r="L59" i="2"/>
  <c r="K39" i="2"/>
  <c r="L66" i="2"/>
  <c r="L56" i="2"/>
  <c r="K52" i="2"/>
  <c r="BO47" i="2"/>
  <c r="O47" i="2"/>
  <c r="P47" i="2" s="1"/>
  <c r="L46" i="2"/>
  <c r="L43" i="2"/>
  <c r="AB37" i="2"/>
  <c r="L34" i="2"/>
  <c r="L28" i="2"/>
  <c r="L24" i="2"/>
  <c r="K20" i="2"/>
  <c r="K16" i="2"/>
  <c r="L65" i="2"/>
  <c r="AB60" i="2"/>
  <c r="BO56" i="2"/>
  <c r="O56" i="2"/>
  <c r="P56" i="2" s="1"/>
  <c r="K55" i="2"/>
  <c r="AB54" i="2"/>
  <c r="AB51" i="2"/>
  <c r="BO43" i="2"/>
  <c r="O43" i="2"/>
  <c r="P43" i="2" s="1"/>
  <c r="L37" i="2"/>
  <c r="L31" i="2"/>
  <c r="AB23" i="2"/>
  <c r="AB19" i="2"/>
  <c r="BO11" i="2"/>
  <c r="O11" i="2"/>
  <c r="P11" i="2" s="1"/>
  <c r="L10" i="2"/>
  <c r="AB9" i="2"/>
  <c r="L64" i="2"/>
  <c r="K42" i="2"/>
  <c r="K30" i="2"/>
  <c r="AB29" i="2"/>
  <c r="K23" i="2"/>
  <c r="L19" i="2"/>
  <c r="AB15" i="2"/>
  <c r="L9" i="2"/>
  <c r="L60" i="2"/>
  <c r="L54" i="2"/>
  <c r="L51" i="2"/>
  <c r="AB45" i="2"/>
  <c r="L63" i="2"/>
  <c r="AB62" i="2"/>
  <c r="AB59" i="2"/>
  <c r="AB50" i="2"/>
  <c r="L45" i="2"/>
  <c r="L41" i="2"/>
  <c r="AB40" i="2"/>
  <c r="L33" i="2"/>
  <c r="BO30" i="2"/>
  <c r="O30" i="2"/>
  <c r="P30" i="2" s="1"/>
  <c r="K29" i="2"/>
  <c r="AB18" i="2"/>
  <c r="L15" i="2"/>
  <c r="AB53" i="2"/>
  <c r="L40" i="2"/>
  <c r="AB39" i="2"/>
  <c r="AB36" i="2"/>
  <c r="AB27" i="2"/>
  <c r="AB22" i="2"/>
  <c r="AB21" i="2"/>
  <c r="L18" i="2"/>
  <c r="L14" i="2"/>
  <c r="L62" i="2"/>
  <c r="L50" i="2"/>
  <c r="AB67" i="2"/>
  <c r="L49" i="2"/>
  <c r="AB44" i="2"/>
  <c r="K36" i="2"/>
  <c r="AB35" i="2"/>
  <c r="AB32" i="2"/>
  <c r="L27" i="2"/>
  <c r="L22" i="2"/>
  <c r="K21" i="2"/>
  <c r="AB17" i="2"/>
  <c r="AB58" i="2"/>
  <c r="K53" i="2"/>
  <c r="BO50" i="2"/>
  <c r="O50" i="2"/>
  <c r="P50" i="2" s="1"/>
  <c r="L67" i="2"/>
  <c r="AB61" i="2"/>
  <c r="L58" i="2"/>
  <c r="BO49" i="2"/>
  <c r="O49" i="2"/>
  <c r="P49" i="2" s="1"/>
  <c r="L48" i="2"/>
  <c r="K44" i="2"/>
  <c r="BO39" i="2"/>
  <c r="O39" i="2"/>
  <c r="P39" i="2" s="1"/>
  <c r="L38" i="2"/>
  <c r="L35" i="2"/>
  <c r="L32" i="2"/>
  <c r="L26" i="2"/>
  <c r="L17" i="2"/>
  <c r="K13" i="2"/>
  <c r="AB12" i="2"/>
  <c r="BO67" i="2"/>
  <c r="O67" i="2"/>
  <c r="P67" i="2" s="1"/>
  <c r="AB66" i="2"/>
  <c r="K61" i="2"/>
  <c r="L57" i="2"/>
  <c r="AB52" i="2"/>
  <c r="L47" i="2"/>
  <c r="BO32" i="2"/>
  <c r="O32" i="2"/>
  <c r="P32" i="2" s="1"/>
  <c r="AB28" i="2"/>
  <c r="L25" i="2"/>
  <c r="AB20" i="2"/>
  <c r="AB16" i="2"/>
  <c r="BO13" i="2"/>
  <c r="O13" i="2"/>
  <c r="P13" i="2" s="1"/>
  <c r="L12" i="2"/>
  <c r="L7" i="2"/>
  <c r="L5" i="2"/>
  <c r="AB4" i="2"/>
  <c r="K8" i="2"/>
  <c r="AB7" i="2"/>
  <c r="K6" i="2"/>
  <c r="AB3" i="2"/>
  <c r="K11" i="2"/>
  <c r="AB5" i="2"/>
  <c r="BO3" i="2"/>
  <c r="BO42" i="2"/>
  <c r="BO52" i="2"/>
  <c r="BO63" i="2"/>
  <c r="BO58" i="2"/>
  <c r="BO64" i="2"/>
  <c r="BO28" i="2"/>
  <c r="BO6" i="2"/>
  <c r="BO20" i="2"/>
  <c r="BO18" i="2"/>
  <c r="BO29" i="2"/>
  <c r="BO19" i="2"/>
  <c r="BO66" i="2"/>
  <c r="BO55" i="2"/>
  <c r="BO59" i="2"/>
  <c r="BO57" i="2"/>
  <c r="BO41" i="2"/>
  <c r="BO27" i="2"/>
  <c r="BO31" i="2"/>
  <c r="BO9" i="2"/>
  <c r="BO65" i="2"/>
  <c r="BO48" i="2"/>
  <c r="BO38" i="2"/>
  <c r="AE61" i="2"/>
  <c r="BO60" i="2"/>
  <c r="BO51" i="2"/>
  <c r="BO37" i="2"/>
  <c r="BO44" i="2"/>
  <c r="AB43" i="2"/>
  <c r="AH36" i="2"/>
  <c r="BO34" i="2"/>
  <c r="BO33" i="2"/>
  <c r="BO23" i="2"/>
  <c r="BO24" i="2"/>
  <c r="BO10" i="2"/>
  <c r="AK9" i="2"/>
  <c r="BO7" i="2"/>
  <c r="AE52" i="2"/>
  <c r="AH63" i="2"/>
  <c r="AB57" i="2"/>
  <c r="AE44" i="2"/>
  <c r="BO45" i="2"/>
  <c r="AK58" i="2"/>
  <c r="BO62" i="2"/>
  <c r="AE38" i="2"/>
  <c r="AB47" i="2"/>
  <c r="AB41" i="2"/>
  <c r="AB65" i="2"/>
  <c r="AE60" i="2"/>
  <c r="AB49" i="2"/>
  <c r="BO54" i="2"/>
  <c r="AK66" i="2"/>
  <c r="AH55" i="2"/>
  <c r="AK50" i="2"/>
  <c r="BO40" i="2"/>
  <c r="AB64" i="2"/>
  <c r="AB56" i="2"/>
  <c r="AB48" i="2"/>
  <c r="AE45" i="2"/>
  <c r="AB38" i="2"/>
  <c r="AN39" i="2"/>
  <c r="BO61" i="2"/>
  <c r="BO53" i="2"/>
  <c r="BO46" i="2"/>
  <c r="AB46" i="2"/>
  <c r="AB63" i="2"/>
  <c r="AB55" i="2"/>
  <c r="AB42" i="2"/>
  <c r="BO36" i="2"/>
  <c r="BO35" i="2"/>
  <c r="AB33" i="2"/>
  <c r="AB34" i="2"/>
  <c r="AB30" i="2"/>
  <c r="AE32" i="2"/>
  <c r="AE29" i="2"/>
  <c r="BO25" i="2"/>
  <c r="BO22" i="2"/>
  <c r="AB26" i="2"/>
  <c r="BO17" i="2"/>
  <c r="AB31" i="2"/>
  <c r="BO26" i="2"/>
  <c r="AE22" i="2"/>
  <c r="BO15" i="2"/>
  <c r="BO21" i="2"/>
  <c r="AB25" i="2"/>
  <c r="AB24" i="2"/>
  <c r="BO16" i="2"/>
  <c r="AK7" i="2"/>
  <c r="AH17" i="2"/>
  <c r="AE16" i="2"/>
  <c r="BO8" i="2"/>
  <c r="AB13" i="2"/>
  <c r="AB10" i="2"/>
  <c r="BO14" i="2"/>
  <c r="AB8" i="2"/>
  <c r="AH12" i="2"/>
  <c r="AB11" i="2"/>
  <c r="AB14" i="2"/>
  <c r="BO12" i="2"/>
  <c r="AB6" i="2"/>
  <c r="BO4" i="2"/>
  <c r="BO5" i="2"/>
  <c r="N66" i="2" l="1"/>
  <c r="B112" i="6"/>
  <c r="C112" i="6" s="1"/>
  <c r="B115" i="6"/>
  <c r="C115" i="6" s="1"/>
  <c r="B116" i="6"/>
  <c r="C116" i="6" s="1"/>
  <c r="B113" i="6"/>
  <c r="C113" i="6" s="1"/>
  <c r="B114" i="6"/>
  <c r="C114" i="6" s="1"/>
  <c r="B117" i="6"/>
  <c r="C117" i="6" s="1"/>
  <c r="B119" i="6"/>
  <c r="C119" i="6" s="1"/>
  <c r="B118" i="6"/>
  <c r="C118" i="6" s="1"/>
  <c r="N34" i="2"/>
  <c r="N25" i="2"/>
  <c r="N7" i="2"/>
  <c r="B118" i="4"/>
  <c r="B122" i="4"/>
  <c r="B115" i="4"/>
  <c r="J122" i="4"/>
  <c r="I127" i="4"/>
  <c r="J128" i="4"/>
  <c r="J120" i="4"/>
  <c r="J123" i="4"/>
  <c r="I119" i="4"/>
  <c r="I125" i="4"/>
  <c r="J116" i="4"/>
  <c r="I117" i="4"/>
  <c r="I129" i="4"/>
  <c r="I121" i="4"/>
  <c r="J125" i="4"/>
  <c r="J127" i="4"/>
  <c r="J117" i="4"/>
  <c r="J126" i="4"/>
  <c r="J119" i="4"/>
  <c r="J118" i="4"/>
  <c r="J131" i="4"/>
  <c r="J129" i="4"/>
  <c r="I126" i="4"/>
  <c r="I132" i="4"/>
  <c r="J121" i="4"/>
  <c r="I128" i="4"/>
  <c r="I118" i="4"/>
  <c r="I124" i="4"/>
  <c r="J132" i="4"/>
  <c r="J124" i="4"/>
  <c r="I131" i="4"/>
  <c r="I120" i="4"/>
  <c r="I116" i="4"/>
  <c r="I123" i="4"/>
  <c r="I130" i="4"/>
  <c r="I122" i="4"/>
  <c r="J130" i="4"/>
  <c r="F116" i="4"/>
  <c r="F132" i="4"/>
  <c r="E127" i="4"/>
  <c r="D122" i="4"/>
  <c r="C117" i="4"/>
  <c r="F121" i="4"/>
  <c r="E117" i="4"/>
  <c r="E120" i="4"/>
  <c r="E122" i="4"/>
  <c r="C128" i="4"/>
  <c r="C116" i="4"/>
  <c r="F117" i="4"/>
  <c r="E128" i="4"/>
  <c r="D123" i="4"/>
  <c r="C118" i="4"/>
  <c r="E116" i="4"/>
  <c r="F122" i="4"/>
  <c r="E118" i="4"/>
  <c r="C124" i="4"/>
  <c r="E119" i="4"/>
  <c r="C125" i="4"/>
  <c r="D131" i="4"/>
  <c r="E121" i="4"/>
  <c r="E123" i="4"/>
  <c r="D120" i="4"/>
  <c r="F118" i="4"/>
  <c r="E129" i="4"/>
  <c r="D124" i="4"/>
  <c r="C119" i="4"/>
  <c r="D126" i="4"/>
  <c r="D127" i="4"/>
  <c r="C122" i="4"/>
  <c r="D128" i="4"/>
  <c r="F124" i="4"/>
  <c r="D130" i="4"/>
  <c r="D132" i="4"/>
  <c r="C127" i="4"/>
  <c r="E124" i="4"/>
  <c r="F131" i="4"/>
  <c r="F119" i="4"/>
  <c r="E130" i="4"/>
  <c r="D125" i="4"/>
  <c r="C120" i="4"/>
  <c r="E131" i="4"/>
  <c r="C121" i="4"/>
  <c r="E132" i="4"/>
  <c r="F123" i="4"/>
  <c r="D129" i="4"/>
  <c r="F125" i="4"/>
  <c r="C126" i="4"/>
  <c r="D116" i="4"/>
  <c r="F127" i="4"/>
  <c r="D117" i="4"/>
  <c r="D118" i="4"/>
  <c r="C129" i="4"/>
  <c r="C130" i="4"/>
  <c r="F130" i="4"/>
  <c r="F120" i="4"/>
  <c r="F129" i="4"/>
  <c r="E125" i="4"/>
  <c r="E126" i="4"/>
  <c r="C123" i="4"/>
  <c r="F126" i="4"/>
  <c r="F128" i="4"/>
  <c r="D119" i="4"/>
  <c r="C131" i="4"/>
  <c r="D121" i="4"/>
  <c r="C132" i="4"/>
  <c r="B129" i="4"/>
  <c r="B123" i="4"/>
  <c r="B121" i="4"/>
  <c r="B131" i="4"/>
  <c r="B125" i="4"/>
  <c r="B130" i="4"/>
  <c r="B119" i="4"/>
  <c r="B127" i="4"/>
  <c r="B132" i="4"/>
  <c r="B128" i="4"/>
  <c r="B120" i="4"/>
  <c r="B124" i="4"/>
  <c r="B117" i="4"/>
  <c r="B116" i="4"/>
  <c r="I115" i="4"/>
  <c r="J115" i="4"/>
  <c r="F115" i="4"/>
  <c r="C115" i="4"/>
  <c r="E115" i="4"/>
  <c r="D115" i="4"/>
  <c r="B113" i="4"/>
  <c r="J114" i="4"/>
  <c r="I114" i="4"/>
  <c r="F114" i="4"/>
  <c r="E114" i="4"/>
  <c r="C114" i="4"/>
  <c r="D114" i="4"/>
  <c r="B114" i="4"/>
  <c r="B112" i="4"/>
  <c r="J113" i="4"/>
  <c r="I113" i="4"/>
  <c r="F113" i="4"/>
  <c r="D113" i="4"/>
  <c r="E113" i="4"/>
  <c r="C113" i="4"/>
  <c r="I112" i="4"/>
  <c r="J112" i="4"/>
  <c r="F112" i="4"/>
  <c r="D112" i="4"/>
  <c r="E112" i="4"/>
  <c r="C112" i="4"/>
  <c r="B110" i="6"/>
  <c r="C110" i="6" s="1"/>
  <c r="B111" i="6"/>
  <c r="C111" i="6" s="1"/>
  <c r="B110" i="4"/>
  <c r="I111" i="4"/>
  <c r="J111" i="4"/>
  <c r="F111" i="4"/>
  <c r="C111" i="4"/>
  <c r="E111" i="4"/>
  <c r="D111" i="4"/>
  <c r="B111" i="4"/>
  <c r="I110" i="4"/>
  <c r="J110" i="4"/>
  <c r="F110" i="4"/>
  <c r="C110" i="4"/>
  <c r="D110" i="4"/>
  <c r="E110" i="4"/>
  <c r="B107" i="6"/>
  <c r="C107" i="6" s="1"/>
  <c r="B106" i="6"/>
  <c r="C106" i="6" s="1"/>
  <c r="B109" i="6"/>
  <c r="C109" i="6" s="1"/>
  <c r="B108" i="6"/>
  <c r="C108" i="6" s="1"/>
  <c r="I8" i="2"/>
  <c r="J8" i="2" s="1"/>
  <c r="I44" i="2"/>
  <c r="J44" i="2" s="1"/>
  <c r="I23" i="2"/>
  <c r="J23" i="2" s="1"/>
  <c r="N41" i="2"/>
  <c r="N64" i="2"/>
  <c r="B108" i="4"/>
  <c r="J109" i="4"/>
  <c r="I109" i="4"/>
  <c r="F109" i="4"/>
  <c r="C109" i="4"/>
  <c r="D109" i="4"/>
  <c r="E109" i="4"/>
  <c r="B109" i="4"/>
  <c r="B107" i="4"/>
  <c r="I108" i="4"/>
  <c r="J108" i="4"/>
  <c r="F108" i="4"/>
  <c r="C108" i="4"/>
  <c r="D108" i="4"/>
  <c r="E108" i="4"/>
  <c r="J107" i="4"/>
  <c r="I107" i="4"/>
  <c r="F107" i="4"/>
  <c r="C107" i="4"/>
  <c r="E107" i="4"/>
  <c r="D107" i="4"/>
  <c r="B105" i="4"/>
  <c r="J106" i="4"/>
  <c r="I106" i="4"/>
  <c r="F106" i="4"/>
  <c r="E106" i="4"/>
  <c r="C106" i="4"/>
  <c r="D106" i="4"/>
  <c r="B106" i="4"/>
  <c r="I52" i="2"/>
  <c r="J52" i="2" s="1"/>
  <c r="N57" i="2"/>
  <c r="I55" i="2"/>
  <c r="J55" i="2" s="1"/>
  <c r="N14" i="2"/>
  <c r="I20" i="2"/>
  <c r="J20" i="2" s="1"/>
  <c r="I19" i="2"/>
  <c r="J19" i="2" s="1"/>
  <c r="N17" i="2"/>
  <c r="N62" i="2"/>
  <c r="I16" i="2"/>
  <c r="J16" i="2" s="1"/>
  <c r="N40" i="2"/>
  <c r="B104" i="6"/>
  <c r="C104" i="6" s="1"/>
  <c r="B103" i="6"/>
  <c r="C103" i="6" s="1"/>
  <c r="I29" i="2"/>
  <c r="J29" i="2" s="1"/>
  <c r="N54" i="2"/>
  <c r="N22" i="2"/>
  <c r="N45" i="2"/>
  <c r="N48" i="2"/>
  <c r="N26" i="2"/>
  <c r="N33" i="2"/>
  <c r="I42" i="2"/>
  <c r="J42" i="2" s="1"/>
  <c r="N10" i="2"/>
  <c r="N24" i="2"/>
  <c r="N15" i="2"/>
  <c r="I11" i="2"/>
  <c r="J11" i="2" s="1"/>
  <c r="N46" i="2"/>
  <c r="N37" i="2"/>
  <c r="I53" i="2"/>
  <c r="J53" i="2" s="1"/>
  <c r="I61" i="2"/>
  <c r="J61" i="2" s="1"/>
  <c r="N35" i="2"/>
  <c r="N18" i="2"/>
  <c r="I58" i="2"/>
  <c r="J58" i="2" s="1"/>
  <c r="I63" i="2"/>
  <c r="J63" i="2" s="1"/>
  <c r="I12" i="2"/>
  <c r="J12" i="2" s="1"/>
  <c r="I51" i="2"/>
  <c r="J51" i="2" s="1"/>
  <c r="N5" i="2"/>
  <c r="I50" i="2"/>
  <c r="J50" i="2" s="1"/>
  <c r="I36" i="2"/>
  <c r="J36" i="2" s="1"/>
  <c r="I67" i="2"/>
  <c r="J67" i="2" s="1"/>
  <c r="I43" i="2"/>
  <c r="J43" i="2" s="1"/>
  <c r="I21" i="2"/>
  <c r="J21" i="2" s="1"/>
  <c r="N27" i="2"/>
  <c r="I56" i="2"/>
  <c r="J56" i="2" s="1"/>
  <c r="B41" i="6"/>
  <c r="C41" i="6" s="1"/>
  <c r="B105" i="6"/>
  <c r="C105" i="6" s="1"/>
  <c r="I105" i="4"/>
  <c r="J105" i="4"/>
  <c r="F105" i="4"/>
  <c r="E105" i="4"/>
  <c r="D105" i="4"/>
  <c r="C105" i="4"/>
  <c r="J59" i="4"/>
  <c r="J18" i="4"/>
  <c r="J58" i="4"/>
  <c r="J66" i="4"/>
  <c r="J67" i="4"/>
  <c r="J82" i="4"/>
  <c r="J51" i="4"/>
  <c r="J10" i="4"/>
  <c r="J74" i="4"/>
  <c r="J11" i="4"/>
  <c r="J75" i="4"/>
  <c r="J19" i="4"/>
  <c r="J83" i="4"/>
  <c r="J26" i="4"/>
  <c r="J90" i="4"/>
  <c r="J50" i="4"/>
  <c r="J27" i="4"/>
  <c r="J91" i="4"/>
  <c r="J34" i="4"/>
  <c r="J98" i="4"/>
  <c r="J35" i="4"/>
  <c r="J99" i="4"/>
  <c r="J42" i="4"/>
  <c r="J43" i="4"/>
  <c r="I12" i="4"/>
  <c r="I91" i="4"/>
  <c r="J49" i="4"/>
  <c r="J48" i="4"/>
  <c r="J95" i="4"/>
  <c r="I31" i="4"/>
  <c r="I70" i="4"/>
  <c r="J21" i="4"/>
  <c r="J52" i="4"/>
  <c r="I35" i="4"/>
  <c r="J62" i="4"/>
  <c r="J93" i="4"/>
  <c r="I13" i="4"/>
  <c r="J73" i="4"/>
  <c r="J64" i="4"/>
  <c r="I83" i="4"/>
  <c r="J41" i="4"/>
  <c r="J40" i="4"/>
  <c r="J87" i="4"/>
  <c r="I23" i="4"/>
  <c r="I62" i="4"/>
  <c r="J13" i="4"/>
  <c r="I101" i="4"/>
  <c r="J44" i="4"/>
  <c r="I44" i="4"/>
  <c r="I66" i="4"/>
  <c r="I75" i="4"/>
  <c r="J33" i="4"/>
  <c r="J32" i="4"/>
  <c r="I10" i="4"/>
  <c r="J79" i="4"/>
  <c r="I15" i="4"/>
  <c r="J102" i="4"/>
  <c r="I54" i="4"/>
  <c r="I93" i="4"/>
  <c r="J36" i="4"/>
  <c r="I14" i="4"/>
  <c r="I53" i="4"/>
  <c r="J57" i="4"/>
  <c r="I78" i="4"/>
  <c r="J29" i="4"/>
  <c r="J60" i="4"/>
  <c r="I67" i="4"/>
  <c r="J25" i="4"/>
  <c r="I97" i="4"/>
  <c r="J24" i="4"/>
  <c r="J71" i="4"/>
  <c r="J94" i="4"/>
  <c r="I46" i="4"/>
  <c r="I50" i="4"/>
  <c r="I85" i="4"/>
  <c r="J28" i="4"/>
  <c r="I65" i="4"/>
  <c r="I84" i="4"/>
  <c r="I17" i="4"/>
  <c r="I24" i="4"/>
  <c r="J37" i="4"/>
  <c r="J68" i="4"/>
  <c r="I59" i="4"/>
  <c r="J17" i="4"/>
  <c r="I89" i="4"/>
  <c r="J16" i="4"/>
  <c r="I104" i="4"/>
  <c r="J63" i="4"/>
  <c r="I34" i="4"/>
  <c r="J86" i="4"/>
  <c r="I38" i="4"/>
  <c r="I77" i="4"/>
  <c r="J20" i="4"/>
  <c r="I80" i="4"/>
  <c r="J39" i="4"/>
  <c r="I103" i="4"/>
  <c r="J84" i="4"/>
  <c r="I51" i="4"/>
  <c r="I81" i="4"/>
  <c r="I96" i="4"/>
  <c r="J55" i="4"/>
  <c r="J78" i="4"/>
  <c r="I30" i="4"/>
  <c r="I69" i="4"/>
  <c r="J12" i="4"/>
  <c r="I100" i="4"/>
  <c r="I18" i="4"/>
  <c r="I102" i="4"/>
  <c r="I58" i="4"/>
  <c r="J65" i="4"/>
  <c r="I47" i="4"/>
  <c r="I98" i="4"/>
  <c r="J56" i="4"/>
  <c r="I43" i="4"/>
  <c r="I42" i="4"/>
  <c r="I73" i="4"/>
  <c r="I74" i="4"/>
  <c r="I88" i="4"/>
  <c r="J47" i="4"/>
  <c r="J70" i="4"/>
  <c r="I22" i="4"/>
  <c r="J101" i="4"/>
  <c r="I61" i="4"/>
  <c r="I92" i="4"/>
  <c r="J14" i="4"/>
  <c r="I36" i="4"/>
  <c r="I90" i="4"/>
  <c r="I86" i="4"/>
  <c r="I16" i="4"/>
  <c r="I27" i="4"/>
  <c r="I57" i="4"/>
  <c r="I72" i="4"/>
  <c r="J31" i="4"/>
  <c r="I95" i="4"/>
  <c r="J54" i="4"/>
  <c r="J85" i="4"/>
  <c r="I45" i="4"/>
  <c r="I76" i="4"/>
  <c r="I40" i="4"/>
  <c r="I82" i="4"/>
  <c r="I63" i="4"/>
  <c r="J22" i="4"/>
  <c r="I28" i="4"/>
  <c r="I99" i="4"/>
  <c r="I39" i="4"/>
  <c r="I20" i="4"/>
  <c r="I19" i="4"/>
  <c r="I49" i="4"/>
  <c r="J104" i="4"/>
  <c r="I64" i="4"/>
  <c r="J23" i="4"/>
  <c r="I87" i="4"/>
  <c r="J46" i="4"/>
  <c r="I26" i="4"/>
  <c r="J77" i="4"/>
  <c r="I37" i="4"/>
  <c r="I68" i="4"/>
  <c r="J81" i="4"/>
  <c r="I25" i="4"/>
  <c r="J80" i="4"/>
  <c r="I32" i="4"/>
  <c r="J45" i="4"/>
  <c r="J76" i="4"/>
  <c r="I11" i="4"/>
  <c r="J97" i="4"/>
  <c r="I41" i="4"/>
  <c r="J96" i="4"/>
  <c r="I56" i="4"/>
  <c r="J15" i="4"/>
  <c r="I79" i="4"/>
  <c r="J38" i="4"/>
  <c r="J69" i="4"/>
  <c r="I29" i="4"/>
  <c r="J100" i="4"/>
  <c r="I60" i="4"/>
  <c r="J53" i="4"/>
  <c r="J103" i="4"/>
  <c r="J89" i="4"/>
  <c r="I33" i="4"/>
  <c r="J88" i="4"/>
  <c r="I48" i="4"/>
  <c r="I71" i="4"/>
  <c r="J30" i="4"/>
  <c r="J61" i="4"/>
  <c r="I21" i="4"/>
  <c r="J92" i="4"/>
  <c r="I52" i="4"/>
  <c r="J72" i="4"/>
  <c r="I55" i="4"/>
  <c r="I94" i="4"/>
  <c r="F14" i="4"/>
  <c r="F30" i="4"/>
  <c r="F46" i="4"/>
  <c r="F62" i="4"/>
  <c r="F78" i="4"/>
  <c r="F94" i="4"/>
  <c r="E19" i="4"/>
  <c r="E35" i="4"/>
  <c r="E51" i="4"/>
  <c r="E67" i="4"/>
  <c r="E83" i="4"/>
  <c r="E99" i="4"/>
  <c r="D24" i="4"/>
  <c r="D40" i="4"/>
  <c r="D56" i="4"/>
  <c r="D72" i="4"/>
  <c r="D88" i="4"/>
  <c r="D104" i="4"/>
  <c r="C29" i="4"/>
  <c r="C45" i="4"/>
  <c r="C61" i="4"/>
  <c r="C77" i="4"/>
  <c r="C93" i="4"/>
  <c r="C82" i="4"/>
  <c r="F52" i="4"/>
  <c r="D94" i="4"/>
  <c r="C83" i="4"/>
  <c r="F85" i="4"/>
  <c r="E90" i="4"/>
  <c r="C68" i="4"/>
  <c r="C21" i="4"/>
  <c r="C71" i="4"/>
  <c r="E65" i="4"/>
  <c r="F77" i="4"/>
  <c r="F15" i="4"/>
  <c r="F31" i="4"/>
  <c r="F47" i="4"/>
  <c r="F63" i="4"/>
  <c r="F79" i="4"/>
  <c r="F95" i="4"/>
  <c r="E20" i="4"/>
  <c r="E36" i="4"/>
  <c r="E52" i="4"/>
  <c r="E68" i="4"/>
  <c r="E84" i="4"/>
  <c r="E100" i="4"/>
  <c r="D25" i="4"/>
  <c r="D41" i="4"/>
  <c r="D57" i="4"/>
  <c r="D73" i="4"/>
  <c r="D89" i="4"/>
  <c r="C14" i="4"/>
  <c r="C30" i="4"/>
  <c r="C46" i="4"/>
  <c r="C62" i="4"/>
  <c r="C78" i="4"/>
  <c r="C94" i="4"/>
  <c r="C98" i="4"/>
  <c r="F68" i="4"/>
  <c r="E57" i="4"/>
  <c r="D46" i="4"/>
  <c r="F53" i="4"/>
  <c r="D31" i="4"/>
  <c r="C52" i="4"/>
  <c r="D48" i="4"/>
  <c r="C38" i="4"/>
  <c r="C87" i="4"/>
  <c r="D68" i="4"/>
  <c r="C58" i="4"/>
  <c r="F76" i="4"/>
  <c r="C28" i="4"/>
  <c r="F16" i="4"/>
  <c r="F32" i="4"/>
  <c r="F48" i="4"/>
  <c r="F64" i="4"/>
  <c r="F80" i="4"/>
  <c r="F96" i="4"/>
  <c r="E21" i="4"/>
  <c r="E37" i="4"/>
  <c r="E53" i="4"/>
  <c r="E69" i="4"/>
  <c r="E85" i="4"/>
  <c r="E101" i="4"/>
  <c r="D26" i="4"/>
  <c r="D42" i="4"/>
  <c r="D58" i="4"/>
  <c r="D74" i="4"/>
  <c r="D90" i="4"/>
  <c r="C15" i="4"/>
  <c r="C31" i="4"/>
  <c r="C47" i="4"/>
  <c r="C63" i="4"/>
  <c r="C79" i="4"/>
  <c r="C95" i="4"/>
  <c r="C34" i="4"/>
  <c r="F100" i="4"/>
  <c r="E25" i="4"/>
  <c r="D14" i="4"/>
  <c r="D78" i="4"/>
  <c r="C35" i="4"/>
  <c r="F21" i="4"/>
  <c r="E26" i="4"/>
  <c r="D15" i="4"/>
  <c r="D79" i="4"/>
  <c r="C36" i="4"/>
  <c r="E59" i="4"/>
  <c r="D96" i="4"/>
  <c r="C70" i="4"/>
  <c r="C103" i="4"/>
  <c r="D83" i="4"/>
  <c r="C56" i="4"/>
  <c r="C73" i="4"/>
  <c r="D101" i="4"/>
  <c r="E49" i="4"/>
  <c r="D38" i="4"/>
  <c r="C59" i="4"/>
  <c r="F45" i="4"/>
  <c r="E50" i="4"/>
  <c r="F17" i="4"/>
  <c r="F33" i="4"/>
  <c r="F49" i="4"/>
  <c r="F65" i="4"/>
  <c r="F81" i="4"/>
  <c r="F97" i="4"/>
  <c r="E22" i="4"/>
  <c r="E38" i="4"/>
  <c r="E54" i="4"/>
  <c r="E70" i="4"/>
  <c r="E86" i="4"/>
  <c r="E102" i="4"/>
  <c r="D27" i="4"/>
  <c r="D43" i="4"/>
  <c r="D59" i="4"/>
  <c r="D75" i="4"/>
  <c r="D91" i="4"/>
  <c r="C16" i="4"/>
  <c r="C32" i="4"/>
  <c r="C48" i="4"/>
  <c r="C64" i="4"/>
  <c r="C80" i="4"/>
  <c r="C96" i="4"/>
  <c r="F36" i="4"/>
  <c r="C67" i="4"/>
  <c r="F101" i="4"/>
  <c r="E58" i="4"/>
  <c r="D47" i="4"/>
  <c r="E91" i="4"/>
  <c r="C85" i="4"/>
  <c r="C86" i="4"/>
  <c r="D99" i="4"/>
  <c r="C88" i="4"/>
  <c r="C89" i="4"/>
  <c r="E33" i="4"/>
  <c r="D70" i="4"/>
  <c r="C27" i="4"/>
  <c r="E98" i="4"/>
  <c r="F18" i="4"/>
  <c r="F34" i="4"/>
  <c r="F50" i="4"/>
  <c r="F66" i="4"/>
  <c r="F82" i="4"/>
  <c r="F98" i="4"/>
  <c r="E23" i="4"/>
  <c r="E39" i="4"/>
  <c r="E55" i="4"/>
  <c r="E71" i="4"/>
  <c r="E87" i="4"/>
  <c r="E103" i="4"/>
  <c r="D28" i="4"/>
  <c r="D44" i="4"/>
  <c r="D60" i="4"/>
  <c r="D76" i="4"/>
  <c r="D92" i="4"/>
  <c r="C17" i="4"/>
  <c r="C33" i="4"/>
  <c r="C49" i="4"/>
  <c r="C65" i="4"/>
  <c r="C81" i="4"/>
  <c r="C97" i="4"/>
  <c r="C50" i="4"/>
  <c r="E41" i="4"/>
  <c r="D30" i="4"/>
  <c r="C51" i="4"/>
  <c r="F37" i="4"/>
  <c r="D95" i="4"/>
  <c r="C20" i="4"/>
  <c r="D64" i="4"/>
  <c r="C69" i="4"/>
  <c r="C54" i="4"/>
  <c r="C39" i="4"/>
  <c r="E78" i="4"/>
  <c r="C72" i="4"/>
  <c r="E47" i="4"/>
  <c r="C26" i="4"/>
  <c r="D86" i="4"/>
  <c r="C75" i="4"/>
  <c r="E82" i="4"/>
  <c r="D87" i="4"/>
  <c r="F19" i="4"/>
  <c r="F35" i="4"/>
  <c r="F51" i="4"/>
  <c r="F67" i="4"/>
  <c r="F83" i="4"/>
  <c r="F99" i="4"/>
  <c r="E24" i="4"/>
  <c r="E40" i="4"/>
  <c r="E56" i="4"/>
  <c r="E72" i="4"/>
  <c r="E88" i="4"/>
  <c r="E104" i="4"/>
  <c r="D29" i="4"/>
  <c r="D45" i="4"/>
  <c r="D61" i="4"/>
  <c r="D77" i="4"/>
  <c r="D93" i="4"/>
  <c r="C18" i="4"/>
  <c r="C66" i="4"/>
  <c r="F84" i="4"/>
  <c r="E73" i="4"/>
  <c r="D62" i="4"/>
  <c r="C99" i="4"/>
  <c r="F69" i="4"/>
  <c r="E74" i="4"/>
  <c r="D63" i="4"/>
  <c r="C84" i="4"/>
  <c r="C53" i="4"/>
  <c r="C23" i="4"/>
  <c r="E94" i="4"/>
  <c r="E31" i="4"/>
  <c r="C25" i="4"/>
  <c r="F92" i="4"/>
  <c r="D102" i="4"/>
  <c r="E34" i="4"/>
  <c r="D71" i="4"/>
  <c r="F20" i="4"/>
  <c r="E89" i="4"/>
  <c r="C19" i="4"/>
  <c r="E42" i="4"/>
  <c r="C100" i="4"/>
  <c r="D32" i="4"/>
  <c r="C101" i="4"/>
  <c r="D98" i="4"/>
  <c r="D51" i="4"/>
  <c r="C24" i="4"/>
  <c r="D20" i="4"/>
  <c r="C57" i="4"/>
  <c r="C90" i="4"/>
  <c r="F60" i="4"/>
  <c r="D54" i="4"/>
  <c r="E18" i="4"/>
  <c r="D55" i="4"/>
  <c r="C92" i="4"/>
  <c r="F22" i="4"/>
  <c r="F38" i="4"/>
  <c r="F54" i="4"/>
  <c r="F70" i="4"/>
  <c r="F86" i="4"/>
  <c r="F102" i="4"/>
  <c r="E27" i="4"/>
  <c r="E43" i="4"/>
  <c r="E75" i="4"/>
  <c r="D16" i="4"/>
  <c r="D80" i="4"/>
  <c r="C37" i="4"/>
  <c r="D35" i="4"/>
  <c r="F74" i="4"/>
  <c r="D100" i="4"/>
  <c r="F28" i="4"/>
  <c r="C91" i="4"/>
  <c r="D39" i="4"/>
  <c r="C60" i="4"/>
  <c r="F23" i="4"/>
  <c r="F39" i="4"/>
  <c r="F55" i="4"/>
  <c r="F71" i="4"/>
  <c r="F87" i="4"/>
  <c r="F103" i="4"/>
  <c r="E28" i="4"/>
  <c r="E44" i="4"/>
  <c r="E60" i="4"/>
  <c r="E76" i="4"/>
  <c r="E92" i="4"/>
  <c r="D17" i="4"/>
  <c r="D33" i="4"/>
  <c r="D49" i="4"/>
  <c r="D65" i="4"/>
  <c r="D81" i="4"/>
  <c r="D97" i="4"/>
  <c r="C22" i="4"/>
  <c r="C102" i="4"/>
  <c r="C55" i="4"/>
  <c r="F90" i="4"/>
  <c r="D52" i="4"/>
  <c r="F44" i="4"/>
  <c r="D22" i="4"/>
  <c r="D23" i="4"/>
  <c r="C76" i="4"/>
  <c r="F24" i="4"/>
  <c r="F40" i="4"/>
  <c r="F56" i="4"/>
  <c r="F72" i="4"/>
  <c r="F88" i="4"/>
  <c r="F104" i="4"/>
  <c r="E29" i="4"/>
  <c r="E45" i="4"/>
  <c r="E61" i="4"/>
  <c r="E77" i="4"/>
  <c r="E93" i="4"/>
  <c r="D18" i="4"/>
  <c r="D34" i="4"/>
  <c r="D50" i="4"/>
  <c r="D66" i="4"/>
  <c r="D82" i="4"/>
  <c r="D67" i="4"/>
  <c r="C104" i="4"/>
  <c r="E15" i="4"/>
  <c r="D36" i="4"/>
  <c r="C42" i="4"/>
  <c r="E97" i="4"/>
  <c r="F61" i="4"/>
  <c r="F25" i="4"/>
  <c r="F41" i="4"/>
  <c r="F57" i="4"/>
  <c r="F73" i="4"/>
  <c r="F89" i="4"/>
  <c r="E14" i="4"/>
  <c r="E30" i="4"/>
  <c r="E46" i="4"/>
  <c r="E62" i="4"/>
  <c r="D19" i="4"/>
  <c r="C40" i="4"/>
  <c r="E63" i="4"/>
  <c r="D84" i="4"/>
  <c r="E81" i="4"/>
  <c r="F93" i="4"/>
  <c r="E66" i="4"/>
  <c r="D103" i="4"/>
  <c r="F26" i="4"/>
  <c r="F42" i="4"/>
  <c r="F58" i="4"/>
  <c r="E79" i="4"/>
  <c r="E95" i="4"/>
  <c r="C41" i="4"/>
  <c r="C43" i="4"/>
  <c r="F27" i="4"/>
  <c r="F43" i="4"/>
  <c r="F59" i="4"/>
  <c r="F75" i="4"/>
  <c r="F91" i="4"/>
  <c r="E16" i="4"/>
  <c r="E32" i="4"/>
  <c r="E48" i="4"/>
  <c r="E64" i="4"/>
  <c r="E80" i="4"/>
  <c r="E96" i="4"/>
  <c r="D21" i="4"/>
  <c r="D37" i="4"/>
  <c r="D53" i="4"/>
  <c r="D69" i="4"/>
  <c r="D85" i="4"/>
  <c r="C74" i="4"/>
  <c r="E17" i="4"/>
  <c r="F29" i="4"/>
  <c r="C44" i="4"/>
  <c r="B21" i="4"/>
  <c r="B72" i="4"/>
  <c r="B35" i="4"/>
  <c r="B36" i="4"/>
  <c r="B33" i="4"/>
  <c r="B64" i="4"/>
  <c r="B86" i="4"/>
  <c r="B39" i="4"/>
  <c r="B40" i="4"/>
  <c r="B42" i="4"/>
  <c r="B58" i="4"/>
  <c r="B17" i="4"/>
  <c r="B71" i="4"/>
  <c r="B92" i="4"/>
  <c r="B77" i="4"/>
  <c r="B73" i="4"/>
  <c r="B47" i="4"/>
  <c r="B91" i="4"/>
  <c r="B55" i="4"/>
  <c r="B50" i="4"/>
  <c r="B69" i="4"/>
  <c r="B52" i="4"/>
  <c r="B83" i="4"/>
  <c r="B87" i="4"/>
  <c r="B49" i="4"/>
  <c r="B62" i="4"/>
  <c r="B85" i="4"/>
  <c r="B38" i="4"/>
  <c r="B46" i="4"/>
  <c r="B88" i="4"/>
  <c r="B74" i="4"/>
  <c r="B89" i="4"/>
  <c r="B80" i="4"/>
  <c r="B43" i="4"/>
  <c r="B27" i="4"/>
  <c r="B70" i="4"/>
  <c r="B54" i="4"/>
  <c r="B99" i="4"/>
  <c r="B96" i="4"/>
  <c r="B59" i="4"/>
  <c r="B67" i="4"/>
  <c r="B22" i="4"/>
  <c r="B65" i="4"/>
  <c r="B44" i="4"/>
  <c r="B101" i="4"/>
  <c r="B82" i="4"/>
  <c r="B93" i="4"/>
  <c r="B29" i="4"/>
  <c r="B34" i="4"/>
  <c r="B104" i="4"/>
  <c r="B23" i="4"/>
  <c r="B16" i="4"/>
  <c r="B45" i="4"/>
  <c r="B90" i="4"/>
  <c r="B98" i="4"/>
  <c r="B84" i="4"/>
  <c r="B63" i="4"/>
  <c r="B18" i="4"/>
  <c r="B66" i="4"/>
  <c r="B15" i="4"/>
  <c r="B68" i="4"/>
  <c r="B57" i="4"/>
  <c r="B51" i="4"/>
  <c r="B76" i="4"/>
  <c r="B20" i="4"/>
  <c r="B81" i="4"/>
  <c r="B94" i="4"/>
  <c r="B60" i="4"/>
  <c r="B95" i="4"/>
  <c r="B79" i="4"/>
  <c r="B28" i="4"/>
  <c r="B31" i="4"/>
  <c r="B24" i="4"/>
  <c r="B32" i="4"/>
  <c r="B103" i="4"/>
  <c r="B30" i="4"/>
  <c r="B14" i="4"/>
  <c r="B53" i="4"/>
  <c r="B41" i="4"/>
  <c r="B25" i="4"/>
  <c r="B78" i="4"/>
  <c r="B102" i="4"/>
  <c r="B75" i="4"/>
  <c r="B19" i="4"/>
  <c r="B97" i="4"/>
  <c r="B61" i="4"/>
  <c r="B100" i="4"/>
  <c r="B26" i="4"/>
  <c r="B56" i="4"/>
  <c r="B37" i="4"/>
  <c r="B48" i="4"/>
  <c r="B14" i="6"/>
  <c r="C14" i="6" s="1"/>
  <c r="B30" i="6"/>
  <c r="C30" i="6" s="1"/>
  <c r="B47" i="6"/>
  <c r="C47" i="6" s="1"/>
  <c r="B63" i="6"/>
  <c r="C63" i="6" s="1"/>
  <c r="B79" i="6"/>
  <c r="C79" i="6" s="1"/>
  <c r="B95" i="6"/>
  <c r="C95" i="6" s="1"/>
  <c r="B31" i="6"/>
  <c r="C31" i="6" s="1"/>
  <c r="B48" i="6"/>
  <c r="C48" i="6" s="1"/>
  <c r="B64" i="6"/>
  <c r="C64" i="6" s="1"/>
  <c r="B96" i="6"/>
  <c r="C96" i="6" s="1"/>
  <c r="B32" i="6"/>
  <c r="C32" i="6" s="1"/>
  <c r="B49" i="6"/>
  <c r="C49" i="6" s="1"/>
  <c r="B81" i="6"/>
  <c r="C81" i="6" s="1"/>
  <c r="B66" i="6"/>
  <c r="C66" i="6" s="1"/>
  <c r="B99" i="6"/>
  <c r="C99" i="6" s="1"/>
  <c r="B45" i="6"/>
  <c r="C45" i="6" s="1"/>
  <c r="B15" i="6"/>
  <c r="C15" i="6" s="1"/>
  <c r="B80" i="6"/>
  <c r="C80" i="6" s="1"/>
  <c r="B65" i="6"/>
  <c r="C65" i="6" s="1"/>
  <c r="B98" i="6"/>
  <c r="C98" i="6" s="1"/>
  <c r="B16" i="6"/>
  <c r="C16" i="6" s="1"/>
  <c r="B97" i="6"/>
  <c r="C97" i="6" s="1"/>
  <c r="B17" i="6"/>
  <c r="C17" i="6" s="1"/>
  <c r="B33" i="6"/>
  <c r="C33" i="6" s="1"/>
  <c r="B50" i="6"/>
  <c r="C50" i="6" s="1"/>
  <c r="B82" i="6"/>
  <c r="C82" i="6" s="1"/>
  <c r="B18" i="6"/>
  <c r="C18" i="6" s="1"/>
  <c r="B34" i="6"/>
  <c r="C34" i="6" s="1"/>
  <c r="B51" i="6"/>
  <c r="C51" i="6" s="1"/>
  <c r="B67" i="6"/>
  <c r="C67" i="6" s="1"/>
  <c r="B83" i="6"/>
  <c r="C83" i="6" s="1"/>
  <c r="B61" i="6"/>
  <c r="C61" i="6" s="1"/>
  <c r="B19" i="6"/>
  <c r="C19" i="6" s="1"/>
  <c r="B35" i="6"/>
  <c r="C35" i="6" s="1"/>
  <c r="B52" i="6"/>
  <c r="C52" i="6" s="1"/>
  <c r="B68" i="6"/>
  <c r="C68" i="6" s="1"/>
  <c r="B84" i="6"/>
  <c r="C84" i="6" s="1"/>
  <c r="B100" i="6"/>
  <c r="C100" i="6" s="1"/>
  <c r="B36" i="6"/>
  <c r="C36" i="6" s="1"/>
  <c r="B53" i="6"/>
  <c r="C53" i="6" s="1"/>
  <c r="B69" i="6"/>
  <c r="C69" i="6" s="1"/>
  <c r="B101" i="6"/>
  <c r="C101" i="6" s="1"/>
  <c r="B37" i="6"/>
  <c r="C37" i="6" s="1"/>
  <c r="B54" i="6"/>
  <c r="C54" i="6" s="1"/>
  <c r="B70" i="6"/>
  <c r="C70" i="6" s="1"/>
  <c r="B102" i="6"/>
  <c r="C102" i="6" s="1"/>
  <c r="B93" i="6"/>
  <c r="C93" i="6" s="1"/>
  <c r="B62" i="6"/>
  <c r="C62" i="6" s="1"/>
  <c r="B20" i="6"/>
  <c r="C20" i="6" s="1"/>
  <c r="B85" i="6"/>
  <c r="C85" i="6" s="1"/>
  <c r="B86" i="6"/>
  <c r="C86" i="6" s="1"/>
  <c r="B94" i="6"/>
  <c r="C94" i="6" s="1"/>
  <c r="B21" i="6"/>
  <c r="C21" i="6" s="1"/>
  <c r="B77" i="6"/>
  <c r="C77" i="6" s="1"/>
  <c r="B29" i="6"/>
  <c r="C29" i="6" s="1"/>
  <c r="B22" i="6"/>
  <c r="C22" i="6" s="1"/>
  <c r="B38" i="6"/>
  <c r="C38" i="6" s="1"/>
  <c r="B55" i="6"/>
  <c r="C55" i="6" s="1"/>
  <c r="B71" i="6"/>
  <c r="C71" i="6" s="1"/>
  <c r="B87" i="6"/>
  <c r="C87" i="6" s="1"/>
  <c r="B39" i="6"/>
  <c r="C39" i="6" s="1"/>
  <c r="B56" i="6"/>
  <c r="C56" i="6" s="1"/>
  <c r="B72" i="6"/>
  <c r="C72" i="6" s="1"/>
  <c r="B88" i="6"/>
  <c r="C88" i="6" s="1"/>
  <c r="B40" i="6"/>
  <c r="C40" i="6" s="1"/>
  <c r="B89" i="6"/>
  <c r="C89" i="6" s="1"/>
  <c r="B28" i="6"/>
  <c r="C28" i="6" s="1"/>
  <c r="B23" i="6"/>
  <c r="C23" i="6" s="1"/>
  <c r="B73" i="6"/>
  <c r="C73" i="6" s="1"/>
  <c r="B24" i="6"/>
  <c r="C24" i="6" s="1"/>
  <c r="B57" i="6"/>
  <c r="C57" i="6" s="1"/>
  <c r="B25" i="6"/>
  <c r="C25" i="6" s="1"/>
  <c r="B42" i="6"/>
  <c r="C42" i="6" s="1"/>
  <c r="B58" i="6"/>
  <c r="C58" i="6" s="1"/>
  <c r="B74" i="6"/>
  <c r="C74" i="6" s="1"/>
  <c r="B90" i="6"/>
  <c r="C90" i="6" s="1"/>
  <c r="B59" i="6"/>
  <c r="C59" i="6" s="1"/>
  <c r="B91" i="6"/>
  <c r="C91" i="6" s="1"/>
  <c r="B92" i="6"/>
  <c r="C92" i="6" s="1"/>
  <c r="B78" i="6"/>
  <c r="C78" i="6" s="1"/>
  <c r="B26" i="6"/>
  <c r="C26" i="6" s="1"/>
  <c r="B43" i="6"/>
  <c r="C43" i="6" s="1"/>
  <c r="B75" i="6"/>
  <c r="C75" i="6" s="1"/>
  <c r="B76" i="6"/>
  <c r="C76" i="6" s="1"/>
  <c r="B46" i="6"/>
  <c r="C46" i="6" s="1"/>
  <c r="B27" i="6"/>
  <c r="C27" i="6" s="1"/>
  <c r="B44" i="6"/>
  <c r="C44" i="6" s="1"/>
  <c r="B60" i="6"/>
  <c r="C60" i="6" s="1"/>
  <c r="I13" i="2"/>
  <c r="J13" i="2" s="1"/>
  <c r="I47" i="2"/>
  <c r="J47" i="2" s="1"/>
  <c r="N67" i="2"/>
  <c r="I28" i="2"/>
  <c r="J28" i="2" s="1"/>
  <c r="I38" i="2"/>
  <c r="J38" i="2" s="1"/>
  <c r="N59" i="2"/>
  <c r="J31" i="2"/>
  <c r="I39" i="2"/>
  <c r="J39" i="2" s="1"/>
  <c r="I6" i="2"/>
  <c r="J6" i="2" s="1"/>
  <c r="I49" i="2"/>
  <c r="J49" i="2" s="1"/>
  <c r="I30" i="2"/>
  <c r="J30" i="2" s="1"/>
  <c r="I32" i="2"/>
  <c r="J32" i="2" s="1"/>
  <c r="N6" i="2"/>
  <c r="N4" i="2"/>
  <c r="D9" i="11" s="1"/>
  <c r="I4" i="2"/>
  <c r="J4" i="2" s="1"/>
  <c r="B9" i="11" s="1"/>
  <c r="I4" i="4"/>
  <c r="J4" i="4"/>
  <c r="I5" i="4"/>
  <c r="J5" i="4"/>
  <c r="I6" i="4"/>
  <c r="J6" i="4"/>
  <c r="I7" i="4"/>
  <c r="J7" i="4"/>
  <c r="I8" i="4"/>
  <c r="J8" i="4"/>
  <c r="I9" i="4"/>
  <c r="J9" i="4"/>
  <c r="B10" i="6"/>
  <c r="C10" i="6" s="1"/>
  <c r="B11" i="6"/>
  <c r="C11" i="6" s="1"/>
  <c r="B12" i="6"/>
  <c r="C12" i="6" s="1"/>
  <c r="B13" i="6"/>
  <c r="C13" i="6" s="1"/>
  <c r="F11" i="4"/>
  <c r="E13" i="4"/>
  <c r="F12" i="4"/>
  <c r="F13" i="4"/>
  <c r="D12" i="4"/>
  <c r="C11" i="4"/>
  <c r="C12" i="4"/>
  <c r="D11" i="4"/>
  <c r="C13" i="4"/>
  <c r="E11" i="4"/>
  <c r="D13" i="4"/>
  <c r="E12" i="4"/>
  <c r="B12" i="4"/>
  <c r="B11" i="4"/>
  <c r="B13" i="4"/>
  <c r="F10" i="4"/>
  <c r="C10" i="4"/>
  <c r="D10" i="4"/>
  <c r="E10" i="4"/>
  <c r="B10" i="4"/>
  <c r="A3" i="6"/>
  <c r="B3" i="6" s="1"/>
  <c r="B4" i="6"/>
  <c r="C4" i="6" s="1"/>
  <c r="B5" i="6"/>
  <c r="C5" i="6" s="1"/>
  <c r="B6" i="6"/>
  <c r="C6" i="6" s="1"/>
  <c r="B7" i="6"/>
  <c r="C7" i="6" s="1"/>
  <c r="B8" i="6"/>
  <c r="C8" i="6" s="1"/>
  <c r="B9" i="6"/>
  <c r="C9" i="6" s="1"/>
  <c r="B9" i="4"/>
  <c r="B6" i="4"/>
  <c r="B8" i="4"/>
  <c r="B4" i="4"/>
  <c r="B7" i="4"/>
  <c r="B5" i="4"/>
  <c r="F4" i="4"/>
  <c r="D8" i="4"/>
  <c r="D5" i="4"/>
  <c r="F5" i="4"/>
  <c r="D9" i="4"/>
  <c r="F6" i="4"/>
  <c r="C4" i="4"/>
  <c r="F7" i="4"/>
  <c r="C5" i="4"/>
  <c r="F8" i="4"/>
  <c r="C6" i="4"/>
  <c r="F9" i="4"/>
  <c r="C7" i="4"/>
  <c r="E4" i="4"/>
  <c r="C8" i="4"/>
  <c r="E5" i="4"/>
  <c r="C9" i="4"/>
  <c r="E6" i="4"/>
  <c r="E7" i="4"/>
  <c r="E8" i="4"/>
  <c r="E9" i="4"/>
  <c r="D4" i="4"/>
  <c r="D6" i="4"/>
  <c r="D7" i="4"/>
  <c r="A3" i="4"/>
  <c r="N9" i="2"/>
  <c r="N65" i="2"/>
  <c r="J22" i="2"/>
  <c r="N31" i="2"/>
  <c r="N60" i="2"/>
  <c r="J26" i="2"/>
  <c r="J41" i="2"/>
  <c r="N3" i="2"/>
  <c r="D8" i="11" s="1"/>
  <c r="J17" i="2"/>
  <c r="J18" i="2"/>
  <c r="J35" i="2"/>
  <c r="J62" i="2"/>
  <c r="J40" i="2"/>
  <c r="J33" i="2"/>
  <c r="J64" i="2"/>
  <c r="J25" i="2"/>
  <c r="J14" i="2"/>
  <c r="J15" i="2"/>
  <c r="J37" i="2"/>
  <c r="J54" i="2"/>
  <c r="J27" i="2"/>
  <c r="L6" i="2"/>
  <c r="J10" i="2"/>
  <c r="J34" i="2"/>
  <c r="L61" i="2"/>
  <c r="L29" i="2"/>
  <c r="J66" i="2"/>
  <c r="L44" i="2"/>
  <c r="L53" i="2"/>
  <c r="L30" i="2"/>
  <c r="L8" i="2"/>
  <c r="L52" i="2"/>
  <c r="L39" i="2"/>
  <c r="J45" i="2"/>
  <c r="L21" i="2"/>
  <c r="L23" i="2"/>
  <c r="L55" i="2"/>
  <c r="J3" i="2"/>
  <c r="B8" i="11" s="1"/>
  <c r="L42" i="2"/>
  <c r="L16" i="2"/>
  <c r="L20" i="2"/>
  <c r="J59" i="2"/>
  <c r="L11" i="2"/>
  <c r="L3" i="2"/>
  <c r="C8" i="11" s="1"/>
  <c r="C7" i="11" s="1"/>
  <c r="J7" i="2"/>
  <c r="J57" i="2"/>
  <c r="J5" i="2"/>
  <c r="L13" i="2"/>
  <c r="L36" i="2"/>
  <c r="J24" i="2"/>
  <c r="J46" i="2"/>
  <c r="G129" i="4" l="1"/>
  <c r="G132" i="4"/>
  <c r="G119" i="4"/>
  <c r="G116" i="4"/>
  <c r="G126" i="4"/>
  <c r="G130" i="4"/>
  <c r="G125" i="4"/>
  <c r="G131" i="4"/>
  <c r="G121" i="4"/>
  <c r="G115" i="4"/>
  <c r="G123" i="4"/>
  <c r="G117" i="4"/>
  <c r="G124" i="4"/>
  <c r="G120" i="4"/>
  <c r="G128" i="4"/>
  <c r="G122" i="4"/>
  <c r="G127" i="4"/>
  <c r="G118" i="4"/>
  <c r="G114" i="4"/>
  <c r="G113" i="4"/>
  <c r="G112" i="4"/>
  <c r="G111" i="4"/>
  <c r="G110" i="4"/>
  <c r="G98" i="4"/>
  <c r="G94" i="4"/>
  <c r="G109" i="4"/>
  <c r="G108" i="4"/>
  <c r="G107" i="4"/>
  <c r="B27" i="11"/>
  <c r="G26" i="11"/>
  <c r="G106" i="4"/>
  <c r="G28" i="4"/>
  <c r="G73" i="4"/>
  <c r="G71" i="4"/>
  <c r="G15" i="4"/>
  <c r="H15" i="4" s="1"/>
  <c r="G38" i="4"/>
  <c r="H38" i="4" s="1"/>
  <c r="G16" i="4"/>
  <c r="H16" i="4" s="1"/>
  <c r="G78" i="4"/>
  <c r="G34" i="4"/>
  <c r="H34" i="4" s="1"/>
  <c r="G81" i="4"/>
  <c r="G51" i="4"/>
  <c r="H51" i="4" s="1"/>
  <c r="G68" i="4"/>
  <c r="G62" i="4"/>
  <c r="H62" i="4" s="1"/>
  <c r="G63" i="4"/>
  <c r="K63" i="4" s="1"/>
  <c r="G31" i="4"/>
  <c r="K31" i="4" s="1"/>
  <c r="G52" i="4"/>
  <c r="H52" i="4" s="1"/>
  <c r="G30" i="4"/>
  <c r="H30" i="4" s="1"/>
  <c r="G61" i="4"/>
  <c r="H61" i="4" s="1"/>
  <c r="G79" i="4"/>
  <c r="G69" i="4"/>
  <c r="G67" i="4"/>
  <c r="H67" i="4" s="1"/>
  <c r="G102" i="4"/>
  <c r="G104" i="4"/>
  <c r="G72" i="4"/>
  <c r="G23" i="4"/>
  <c r="K23" i="4" s="1"/>
  <c r="G89" i="4"/>
  <c r="G93" i="4"/>
  <c r="G82" i="4"/>
  <c r="G14" i="4"/>
  <c r="K14" i="4" s="1"/>
  <c r="G70" i="4"/>
  <c r="G18" i="4"/>
  <c r="H18" i="4" s="1"/>
  <c r="G55" i="4"/>
  <c r="K55" i="4" s="1"/>
  <c r="G96" i="4"/>
  <c r="G83" i="4"/>
  <c r="G100" i="4"/>
  <c r="G97" i="4"/>
  <c r="G95" i="4"/>
  <c r="G54" i="4"/>
  <c r="H54" i="4" s="1"/>
  <c r="G33" i="4"/>
  <c r="H33" i="4" s="1"/>
  <c r="G19" i="4"/>
  <c r="H19" i="4" s="1"/>
  <c r="G60" i="4"/>
  <c r="H60" i="4" s="1"/>
  <c r="G50" i="4"/>
  <c r="H50" i="4" s="1"/>
  <c r="G85" i="4"/>
  <c r="G56" i="4"/>
  <c r="H56" i="4" s="1"/>
  <c r="G40" i="4"/>
  <c r="H40" i="4" s="1"/>
  <c r="G87" i="4"/>
  <c r="G39" i="4"/>
  <c r="H39" i="4" s="1"/>
  <c r="G75" i="4"/>
  <c r="G35" i="4"/>
  <c r="H35" i="4" s="1"/>
  <c r="G20" i="4"/>
  <c r="H20" i="4" s="1"/>
  <c r="G76" i="4"/>
  <c r="G41" i="4"/>
  <c r="H41" i="4" s="1"/>
  <c r="G99" i="4"/>
  <c r="G36" i="4"/>
  <c r="H36" i="4" s="1"/>
  <c r="G47" i="4"/>
  <c r="H47" i="4" s="1"/>
  <c r="G77" i="4"/>
  <c r="G57" i="4"/>
  <c r="H57" i="4" s="1"/>
  <c r="G88" i="4"/>
  <c r="G92" i="4"/>
  <c r="G101" i="4"/>
  <c r="G46" i="4"/>
  <c r="H46" i="4" s="1"/>
  <c r="G48" i="4"/>
  <c r="G66" i="4"/>
  <c r="H66" i="4" s="1"/>
  <c r="G65" i="4"/>
  <c r="H65" i="4" s="1"/>
  <c r="G58" i="4"/>
  <c r="H58" i="4" s="1"/>
  <c r="G22" i="4"/>
  <c r="H22" i="4" s="1"/>
  <c r="G24" i="4"/>
  <c r="H24" i="4" s="1"/>
  <c r="G49" i="4"/>
  <c r="H49" i="4" s="1"/>
  <c r="G84" i="4"/>
  <c r="G86" i="4"/>
  <c r="G45" i="4"/>
  <c r="H45" i="4" s="1"/>
  <c r="G90" i="4"/>
  <c r="G42" i="4"/>
  <c r="H42" i="4" s="1"/>
  <c r="G59" i="4"/>
  <c r="H59" i="4" s="1"/>
  <c r="G91" i="4"/>
  <c r="G25" i="4"/>
  <c r="H25" i="4" s="1"/>
  <c r="G28" i="11"/>
  <c r="G103" i="4"/>
  <c r="G105" i="4"/>
  <c r="G53" i="4"/>
  <c r="H53" i="4" s="1"/>
  <c r="G32" i="4"/>
  <c r="H32" i="4" s="1"/>
  <c r="B29" i="11"/>
  <c r="B28" i="11"/>
  <c r="B30" i="11"/>
  <c r="B31" i="11"/>
  <c r="G64" i="4"/>
  <c r="H64" i="4" s="1"/>
  <c r="G43" i="4"/>
  <c r="K43" i="4" s="1"/>
  <c r="G29" i="4"/>
  <c r="H29" i="4" s="1"/>
  <c r="G27" i="4"/>
  <c r="G80" i="4"/>
  <c r="G21" i="4"/>
  <c r="H21" i="4" s="1"/>
  <c r="G74" i="4"/>
  <c r="G44" i="4"/>
  <c r="H44" i="4" s="1"/>
  <c r="G17" i="4"/>
  <c r="H17" i="4" s="1"/>
  <c r="G37" i="4"/>
  <c r="H37" i="4" s="1"/>
  <c r="G26" i="4"/>
  <c r="H26" i="4" s="1"/>
  <c r="G29" i="11"/>
  <c r="D7" i="11"/>
  <c r="B7" i="11"/>
  <c r="G30" i="11"/>
  <c r="G27" i="11"/>
  <c r="B26" i="11"/>
  <c r="J3" i="4"/>
  <c r="I3" i="4"/>
  <c r="G31" i="11"/>
  <c r="G13" i="4"/>
  <c r="G11" i="4"/>
  <c r="K11" i="4" s="1"/>
  <c r="G12" i="4"/>
  <c r="H12" i="4" s="1"/>
  <c r="G10" i="4"/>
  <c r="H10" i="4" s="1"/>
  <c r="G9" i="4"/>
  <c r="K9" i="4" s="1"/>
  <c r="G8" i="4"/>
  <c r="H8" i="4" s="1"/>
  <c r="G5" i="4"/>
  <c r="G7" i="4"/>
  <c r="G4" i="4"/>
  <c r="B3" i="4"/>
  <c r="B35" i="11" s="1"/>
  <c r="D3" i="4"/>
  <c r="D35" i="11" s="1"/>
  <c r="B23" i="11" s="1"/>
  <c r="F3" i="4"/>
  <c r="F35" i="11" s="1"/>
  <c r="C3" i="4"/>
  <c r="C35" i="11" s="1"/>
  <c r="E3" i="4"/>
  <c r="E35" i="11" s="1"/>
  <c r="B22" i="11" s="1"/>
  <c r="G6" i="4"/>
  <c r="H20" i="2"/>
  <c r="H22" i="2"/>
  <c r="H28" i="2"/>
  <c r="H32" i="2"/>
  <c r="H41" i="2"/>
  <c r="H58" i="2"/>
  <c r="H65" i="2"/>
  <c r="H6" i="2"/>
  <c r="H11" i="2"/>
  <c r="H16" i="2"/>
  <c r="H25" i="2"/>
  <c r="H35" i="2"/>
  <c r="H46" i="2"/>
  <c r="H53" i="2"/>
  <c r="H63" i="2"/>
  <c r="H4" i="2"/>
  <c r="H18" i="2"/>
  <c r="H31" i="2"/>
  <c r="H39" i="2"/>
  <c r="H44" i="2"/>
  <c r="H51" i="2"/>
  <c r="H56" i="2"/>
  <c r="H9" i="2"/>
  <c r="H14" i="2"/>
  <c r="H21" i="2"/>
  <c r="H23" i="2"/>
  <c r="H33" i="2"/>
  <c r="H37" i="2"/>
  <c r="H42" i="2"/>
  <c r="H49" i="2"/>
  <c r="H61" i="2"/>
  <c r="H66" i="2"/>
  <c r="H7" i="2"/>
  <c r="H12" i="2"/>
  <c r="H26" i="2"/>
  <c r="H29" i="2"/>
  <c r="H36" i="2"/>
  <c r="H47" i="2"/>
  <c r="H54" i="2"/>
  <c r="H59" i="2"/>
  <c r="H5" i="2"/>
  <c r="H17" i="2"/>
  <c r="H19" i="2"/>
  <c r="H40" i="2"/>
  <c r="H52" i="2"/>
  <c r="H57" i="2"/>
  <c r="H64" i="2"/>
  <c r="H10" i="2"/>
  <c r="H13" i="2"/>
  <c r="H30" i="2"/>
  <c r="H43" i="2"/>
  <c r="H8" i="2"/>
  <c r="H15" i="2"/>
  <c r="H50" i="2"/>
  <c r="H60" i="2"/>
  <c r="H67" i="2"/>
  <c r="H3" i="2"/>
  <c r="H55" i="2"/>
  <c r="H27" i="2"/>
  <c r="H38" i="2"/>
  <c r="H48" i="2"/>
  <c r="H62" i="2"/>
  <c r="H24" i="2"/>
  <c r="H34" i="2"/>
  <c r="H45" i="2"/>
  <c r="C3" i="6"/>
  <c r="G3" i="4" l="1"/>
  <c r="G35" i="11" s="1"/>
  <c r="L55" i="4"/>
  <c r="M55" i="4" s="1"/>
  <c r="L43" i="4"/>
  <c r="M43" i="4" s="1"/>
  <c r="L9" i="4"/>
  <c r="M9" i="4" s="1"/>
  <c r="L23" i="4"/>
  <c r="M23" i="4" s="1"/>
  <c r="L14" i="4"/>
  <c r="M14" i="4" s="1"/>
  <c r="L63" i="4"/>
  <c r="M63" i="4" s="1"/>
  <c r="L11" i="4"/>
  <c r="M11" i="4" s="1"/>
  <c r="L31" i="4"/>
  <c r="M31" i="4" s="1"/>
  <c r="K27" i="4"/>
  <c r="H63" i="4"/>
  <c r="H48" i="4"/>
  <c r="H87" i="4"/>
  <c r="K39" i="4"/>
  <c r="H5" i="4"/>
  <c r="K17" i="4"/>
  <c r="K51" i="4"/>
  <c r="K56" i="4"/>
  <c r="K20" i="4"/>
  <c r="K64" i="4"/>
  <c r="K12" i="4"/>
  <c r="H4" i="4"/>
  <c r="K4" i="4"/>
  <c r="H9" i="4"/>
  <c r="K16" i="4"/>
  <c r="K38" i="4"/>
  <c r="K46" i="4"/>
  <c r="K65" i="4"/>
  <c r="K29" i="4"/>
  <c r="K32" i="4"/>
  <c r="H23" i="4"/>
  <c r="K25" i="4"/>
  <c r="K47" i="4"/>
  <c r="K61" i="4"/>
  <c r="K22" i="4"/>
  <c r="K57" i="4"/>
  <c r="H43" i="4"/>
  <c r="H55" i="4"/>
  <c r="K15" i="4"/>
  <c r="K42" i="4"/>
  <c r="K53" i="4"/>
  <c r="K50" i="4"/>
  <c r="K35" i="4"/>
  <c r="K26" i="4"/>
  <c r="K45" i="4"/>
  <c r="K40" i="4"/>
  <c r="H11" i="4"/>
  <c r="K19" i="4"/>
  <c r="K44" i="4"/>
  <c r="K67" i="4"/>
  <c r="K18" i="4"/>
  <c r="K36" i="4"/>
  <c r="H85" i="4"/>
  <c r="K85" i="4"/>
  <c r="H176" i="4"/>
  <c r="K176" i="4"/>
  <c r="H13" i="4"/>
  <c r="K13" i="4"/>
  <c r="H6" i="4"/>
  <c r="K6" i="4"/>
  <c r="H28" i="4"/>
  <c r="K28" i="4"/>
  <c r="H138" i="4"/>
  <c r="K138" i="4"/>
  <c r="H111" i="4"/>
  <c r="K111" i="4"/>
  <c r="H120" i="4"/>
  <c r="K120" i="4"/>
  <c r="H136" i="4"/>
  <c r="K136" i="4"/>
  <c r="H170" i="4"/>
  <c r="K170" i="4"/>
  <c r="H126" i="4"/>
  <c r="K126" i="4"/>
  <c r="K192" i="4"/>
  <c r="H137" i="4"/>
  <c r="K137" i="4"/>
  <c r="H185" i="4"/>
  <c r="K185" i="4"/>
  <c r="H82" i="4"/>
  <c r="K82" i="4"/>
  <c r="K152" i="4"/>
  <c r="H178" i="4"/>
  <c r="K178" i="4"/>
  <c r="H104" i="4"/>
  <c r="K104" i="4"/>
  <c r="H69" i="4"/>
  <c r="K69" i="4"/>
  <c r="K183" i="4"/>
  <c r="H128" i="4"/>
  <c r="K128" i="4"/>
  <c r="K30" i="4"/>
  <c r="K52" i="4"/>
  <c r="K54" i="4"/>
  <c r="K7" i="4"/>
  <c r="K37" i="4"/>
  <c r="K175" i="4"/>
  <c r="H113" i="4"/>
  <c r="K113" i="4"/>
  <c r="H81" i="4"/>
  <c r="K81" i="4"/>
  <c r="H116" i="4"/>
  <c r="K116" i="4"/>
  <c r="H144" i="4"/>
  <c r="K144" i="4"/>
  <c r="H188" i="4"/>
  <c r="K188" i="4"/>
  <c r="K71" i="4"/>
  <c r="H70" i="4"/>
  <c r="K70" i="4"/>
  <c r="K108" i="4"/>
  <c r="H168" i="4"/>
  <c r="K168" i="4"/>
  <c r="H73" i="4"/>
  <c r="K73" i="4"/>
  <c r="H186" i="4"/>
  <c r="K186" i="4"/>
  <c r="H162" i="4"/>
  <c r="K162" i="4"/>
  <c r="H114" i="4"/>
  <c r="K114" i="4"/>
  <c r="H134" i="4"/>
  <c r="K134" i="4"/>
  <c r="K8" i="4"/>
  <c r="K10" i="4"/>
  <c r="K33" i="4"/>
  <c r="H187" i="4"/>
  <c r="K187" i="4"/>
  <c r="H157" i="4"/>
  <c r="K157" i="4"/>
  <c r="H195" i="4"/>
  <c r="K195" i="4"/>
  <c r="H150" i="4"/>
  <c r="K150" i="4"/>
  <c r="H149" i="4"/>
  <c r="K149" i="4"/>
  <c r="K135" i="4"/>
  <c r="H200" i="4"/>
  <c r="K200" i="4"/>
  <c r="H79" i="4"/>
  <c r="K79" i="4"/>
  <c r="H148" i="4"/>
  <c r="K148" i="4"/>
  <c r="K151" i="4"/>
  <c r="H158" i="4"/>
  <c r="K158" i="4"/>
  <c r="K95" i="4"/>
  <c r="H84" i="4"/>
  <c r="K84" i="4"/>
  <c r="H184" i="4"/>
  <c r="K184" i="4"/>
  <c r="H194" i="4"/>
  <c r="K194" i="4"/>
  <c r="H92" i="4"/>
  <c r="K92" i="4"/>
  <c r="H14" i="4"/>
  <c r="K62" i="4"/>
  <c r="H31" i="4"/>
  <c r="H189" i="4"/>
  <c r="K189" i="4"/>
  <c r="H172" i="4"/>
  <c r="K172" i="4"/>
  <c r="H110" i="4"/>
  <c r="K110" i="4"/>
  <c r="H173" i="4"/>
  <c r="K173" i="4"/>
  <c r="H83" i="4"/>
  <c r="K83" i="4"/>
  <c r="H88" i="4"/>
  <c r="K88" i="4"/>
  <c r="H106" i="4"/>
  <c r="K106" i="4"/>
  <c r="K159" i="4"/>
  <c r="H169" i="4"/>
  <c r="K169" i="4"/>
  <c r="H76" i="4"/>
  <c r="K76" i="4"/>
  <c r="H94" i="4"/>
  <c r="K94" i="4"/>
  <c r="H101" i="4"/>
  <c r="K101" i="4"/>
  <c r="K60" i="4"/>
  <c r="K199" i="4"/>
  <c r="H109" i="4"/>
  <c r="K109" i="4"/>
  <c r="H96" i="4"/>
  <c r="K96" i="4"/>
  <c r="H154" i="4"/>
  <c r="K154" i="4"/>
  <c r="H143" i="4"/>
  <c r="K143" i="4"/>
  <c r="K119" i="4"/>
  <c r="K75" i="4"/>
  <c r="H147" i="4"/>
  <c r="K147" i="4"/>
  <c r="H91" i="4"/>
  <c r="K91" i="4"/>
  <c r="H163" i="4"/>
  <c r="K163" i="4"/>
  <c r="H107" i="4"/>
  <c r="K107" i="4"/>
  <c r="H179" i="4"/>
  <c r="K179" i="4"/>
  <c r="K58" i="4"/>
  <c r="H146" i="4"/>
  <c r="K146" i="4"/>
  <c r="K123" i="4"/>
  <c r="K129" i="4"/>
  <c r="K24" i="4"/>
  <c r="H190" i="4"/>
  <c r="K190" i="4"/>
  <c r="K127" i="4"/>
  <c r="H165" i="4"/>
  <c r="K165" i="4"/>
  <c r="K99" i="4"/>
  <c r="K191" i="4"/>
  <c r="H160" i="4"/>
  <c r="K160" i="4"/>
  <c r="H130" i="4"/>
  <c r="K130" i="4"/>
  <c r="H197" i="4"/>
  <c r="K197" i="4"/>
  <c r="H177" i="4"/>
  <c r="K177" i="4"/>
  <c r="H181" i="4"/>
  <c r="K181" i="4"/>
  <c r="K193" i="4"/>
  <c r="H122" i="4"/>
  <c r="K122" i="4"/>
  <c r="H103" i="4"/>
  <c r="K103" i="4"/>
  <c r="H98" i="4"/>
  <c r="K98" i="4"/>
  <c r="K66" i="4"/>
  <c r="H7" i="4"/>
  <c r="K41" i="4"/>
  <c r="H125" i="4"/>
  <c r="K125" i="4"/>
  <c r="H117" i="4"/>
  <c r="K117" i="4"/>
  <c r="K131" i="4"/>
  <c r="K133" i="4"/>
  <c r="H139" i="4"/>
  <c r="K139" i="4"/>
  <c r="H161" i="4"/>
  <c r="K161" i="4"/>
  <c r="H142" i="4"/>
  <c r="K142" i="4"/>
  <c r="H118" i="4"/>
  <c r="K118" i="4"/>
  <c r="K155" i="4"/>
  <c r="H196" i="4"/>
  <c r="K196" i="4"/>
  <c r="H78" i="4"/>
  <c r="K78" i="4"/>
  <c r="K90" i="4"/>
  <c r="H171" i="4"/>
  <c r="K171" i="4"/>
  <c r="H80" i="4"/>
  <c r="K80" i="4"/>
  <c r="K167" i="4"/>
  <c r="H140" i="4"/>
  <c r="K140" i="4"/>
  <c r="K49" i="4"/>
  <c r="K59" i="4"/>
  <c r="H105" i="4"/>
  <c r="K105" i="4"/>
  <c r="H77" i="4"/>
  <c r="K77" i="4"/>
  <c r="H121" i="4"/>
  <c r="K121" i="4"/>
  <c r="H180" i="4"/>
  <c r="K180" i="4"/>
  <c r="H132" i="4"/>
  <c r="K132" i="4"/>
  <c r="H102" i="4"/>
  <c r="K102" i="4"/>
  <c r="H72" i="4"/>
  <c r="K72" i="4"/>
  <c r="H182" i="4"/>
  <c r="K182" i="4"/>
  <c r="H68" i="4"/>
  <c r="K68" i="4"/>
  <c r="H198" i="4"/>
  <c r="K198" i="4"/>
  <c r="H164" i="4"/>
  <c r="K164" i="4"/>
  <c r="H141" i="4"/>
  <c r="K141" i="4"/>
  <c r="H89" i="4"/>
  <c r="K89" i="4"/>
  <c r="H124" i="4"/>
  <c r="K124" i="4"/>
  <c r="H115" i="4"/>
  <c r="K115" i="4"/>
  <c r="H97" i="4"/>
  <c r="K97" i="4"/>
  <c r="K34" i="4"/>
  <c r="H153" i="4"/>
  <c r="K153" i="4"/>
  <c r="H74" i="4"/>
  <c r="K74" i="4"/>
  <c r="H93" i="4"/>
  <c r="K93" i="4"/>
  <c r="H145" i="4"/>
  <c r="K145" i="4"/>
  <c r="H174" i="4"/>
  <c r="K174" i="4"/>
  <c r="H112" i="4"/>
  <c r="K112" i="4"/>
  <c r="H100" i="4"/>
  <c r="K100" i="4"/>
  <c r="H86" i="4"/>
  <c r="K86" i="4"/>
  <c r="K21" i="4"/>
  <c r="H166" i="4"/>
  <c r="K166" i="4"/>
  <c r="H156" i="4"/>
  <c r="K156" i="4"/>
  <c r="H3" i="4" l="1"/>
  <c r="H35" i="11" s="1"/>
  <c r="H27" i="4"/>
  <c r="L198" i="4"/>
  <c r="M198" i="4" s="1"/>
  <c r="L112" i="4"/>
  <c r="M112" i="4" s="1"/>
  <c r="L161" i="4"/>
  <c r="M161" i="4" s="1"/>
  <c r="L165" i="4"/>
  <c r="M165" i="4" s="1"/>
  <c r="L60" i="4"/>
  <c r="M60" i="4" s="1"/>
  <c r="L173" i="4"/>
  <c r="M173" i="4" s="1"/>
  <c r="L150" i="4"/>
  <c r="M150" i="4" s="1"/>
  <c r="L162" i="4"/>
  <c r="M162" i="4" s="1"/>
  <c r="L116" i="4"/>
  <c r="M116" i="4" s="1"/>
  <c r="L15" i="4"/>
  <c r="M15" i="4" s="1"/>
  <c r="L4" i="4"/>
  <c r="M4" i="4" s="1"/>
  <c r="L124" i="4"/>
  <c r="M124" i="4" s="1"/>
  <c r="L167" i="4"/>
  <c r="M167" i="4" s="1"/>
  <c r="L122" i="4"/>
  <c r="M122" i="4" s="1"/>
  <c r="L91" i="4"/>
  <c r="M91" i="4" s="1"/>
  <c r="L101" i="4"/>
  <c r="M101" i="4" s="1"/>
  <c r="L84" i="4"/>
  <c r="M84" i="4" s="1"/>
  <c r="L104" i="4"/>
  <c r="M104" i="4" s="1"/>
  <c r="L136" i="4"/>
  <c r="M136" i="4" s="1"/>
  <c r="L85" i="4"/>
  <c r="M85" i="4" s="1"/>
  <c r="L139" i="4"/>
  <c r="M139" i="4" s="1"/>
  <c r="L127" i="4"/>
  <c r="M127" i="4" s="1"/>
  <c r="L110" i="4"/>
  <c r="M110" i="4" s="1"/>
  <c r="L195" i="4"/>
  <c r="M195" i="4" s="1"/>
  <c r="L186" i="4"/>
  <c r="M186" i="4" s="1"/>
  <c r="L81" i="4"/>
  <c r="M81" i="4" s="1"/>
  <c r="L12" i="4"/>
  <c r="M12" i="4" s="1"/>
  <c r="L102" i="4"/>
  <c r="M102" i="4" s="1"/>
  <c r="L147" i="4"/>
  <c r="M147" i="4" s="1"/>
  <c r="L94" i="4"/>
  <c r="M94" i="4" s="1"/>
  <c r="L95" i="4"/>
  <c r="M95" i="4" s="1"/>
  <c r="L178" i="4"/>
  <c r="M178" i="4" s="1"/>
  <c r="L120" i="4"/>
  <c r="M120" i="4" s="1"/>
  <c r="L36" i="4"/>
  <c r="M36" i="4" s="1"/>
  <c r="L57" i="4"/>
  <c r="M57" i="4" s="1"/>
  <c r="L64" i="4"/>
  <c r="M64" i="4" s="1"/>
  <c r="L166" i="4"/>
  <c r="M166" i="4" s="1"/>
  <c r="L80" i="4"/>
  <c r="M80" i="4" s="1"/>
  <c r="L190" i="4"/>
  <c r="M190" i="4" s="1"/>
  <c r="L145" i="4"/>
  <c r="M145" i="4" s="1"/>
  <c r="L171" i="4"/>
  <c r="M171" i="4" s="1"/>
  <c r="L133" i="4"/>
  <c r="M133" i="4" s="1"/>
  <c r="L181" i="4"/>
  <c r="M181" i="4" s="1"/>
  <c r="L172" i="4"/>
  <c r="M172" i="4" s="1"/>
  <c r="L158" i="4"/>
  <c r="M158" i="4" s="1"/>
  <c r="L157" i="4"/>
  <c r="M157" i="4" s="1"/>
  <c r="L73" i="4"/>
  <c r="M73" i="4" s="1"/>
  <c r="L113" i="4"/>
  <c r="M113" i="4" s="1"/>
  <c r="L18" i="4"/>
  <c r="M18" i="4" s="1"/>
  <c r="L22" i="4"/>
  <c r="M22" i="4" s="1"/>
  <c r="L20" i="4"/>
  <c r="M20" i="4" s="1"/>
  <c r="L193" i="4"/>
  <c r="M193" i="4" s="1"/>
  <c r="L141" i="4"/>
  <c r="M141" i="4" s="1"/>
  <c r="L180" i="4"/>
  <c r="M180" i="4" s="1"/>
  <c r="L131" i="4"/>
  <c r="M131" i="4" s="1"/>
  <c r="L24" i="4"/>
  <c r="M24" i="4" s="1"/>
  <c r="L75" i="4"/>
  <c r="M75" i="4" s="1"/>
  <c r="L76" i="4"/>
  <c r="M76" i="4" s="1"/>
  <c r="L152" i="4"/>
  <c r="M152" i="4" s="1"/>
  <c r="L111" i="4"/>
  <c r="M111" i="4" s="1"/>
  <c r="L67" i="4"/>
  <c r="M67" i="4" s="1"/>
  <c r="L61" i="4"/>
  <c r="M61" i="4" s="1"/>
  <c r="L56" i="4"/>
  <c r="M56" i="4" s="1"/>
  <c r="L177" i="4"/>
  <c r="M177" i="4" s="1"/>
  <c r="L189" i="4"/>
  <c r="M189" i="4" s="1"/>
  <c r="L187" i="4"/>
  <c r="M187" i="4" s="1"/>
  <c r="L168" i="4"/>
  <c r="M168" i="4" s="1"/>
  <c r="L175" i="4"/>
  <c r="M175" i="4" s="1"/>
  <c r="L82" i="4"/>
  <c r="M82" i="4" s="1"/>
  <c r="L44" i="4"/>
  <c r="M44" i="4" s="1"/>
  <c r="L47" i="4"/>
  <c r="M47" i="4" s="1"/>
  <c r="L132" i="4"/>
  <c r="M132" i="4" s="1"/>
  <c r="L129" i="4"/>
  <c r="M129" i="4" s="1"/>
  <c r="L156" i="4"/>
  <c r="M156" i="4" s="1"/>
  <c r="L78" i="4"/>
  <c r="M78" i="4" s="1"/>
  <c r="L143" i="4"/>
  <c r="M143" i="4" s="1"/>
  <c r="L37" i="4"/>
  <c r="M37" i="4" s="1"/>
  <c r="L138" i="4"/>
  <c r="M138" i="4" s="1"/>
  <c r="L19" i="4"/>
  <c r="M19" i="4" s="1"/>
  <c r="L25" i="4"/>
  <c r="M25" i="4" s="1"/>
  <c r="L51" i="4"/>
  <c r="M51" i="4" s="1"/>
  <c r="L174" i="4"/>
  <c r="M174" i="4" s="1"/>
  <c r="L89" i="4"/>
  <c r="M89" i="4" s="1"/>
  <c r="L93" i="4"/>
  <c r="M93" i="4" s="1"/>
  <c r="L90" i="4"/>
  <c r="M90" i="4" s="1"/>
  <c r="L117" i="4"/>
  <c r="M117" i="4" s="1"/>
  <c r="L119" i="4"/>
  <c r="M119" i="4" s="1"/>
  <c r="L151" i="4"/>
  <c r="M151" i="4" s="1"/>
  <c r="L164" i="4"/>
  <c r="M164" i="4" s="1"/>
  <c r="L121" i="4"/>
  <c r="M121" i="4" s="1"/>
  <c r="L123" i="4"/>
  <c r="M123" i="4" s="1"/>
  <c r="L169" i="4"/>
  <c r="M169" i="4" s="1"/>
  <c r="L148" i="4"/>
  <c r="M148" i="4" s="1"/>
  <c r="L74" i="4"/>
  <c r="M74" i="4" s="1"/>
  <c r="L125" i="4"/>
  <c r="M125" i="4" s="1"/>
  <c r="L197" i="4"/>
  <c r="M197" i="4" s="1"/>
  <c r="L146" i="4"/>
  <c r="M146" i="4" s="1"/>
  <c r="L33" i="4"/>
  <c r="M33" i="4" s="1"/>
  <c r="L108" i="4"/>
  <c r="M108" i="4" s="1"/>
  <c r="L7" i="4"/>
  <c r="M7" i="4" s="1"/>
  <c r="L185" i="4"/>
  <c r="M185" i="4" s="1"/>
  <c r="L17" i="4"/>
  <c r="M17" i="4" s="1"/>
  <c r="L154" i="4"/>
  <c r="M154" i="4" s="1"/>
  <c r="L159" i="4"/>
  <c r="M159" i="4" s="1"/>
  <c r="L62" i="4"/>
  <c r="M62" i="4" s="1"/>
  <c r="L79" i="4"/>
  <c r="M79" i="4" s="1"/>
  <c r="L10" i="4"/>
  <c r="M10" i="4" s="1"/>
  <c r="L70" i="4"/>
  <c r="M70" i="4" s="1"/>
  <c r="L54" i="4"/>
  <c r="M54" i="4" s="1"/>
  <c r="L28" i="4"/>
  <c r="M28" i="4" s="1"/>
  <c r="L40" i="4"/>
  <c r="M40" i="4" s="1"/>
  <c r="L32" i="4"/>
  <c r="M32" i="4" s="1"/>
  <c r="L41" i="4"/>
  <c r="M41" i="4" s="1"/>
  <c r="L130" i="4"/>
  <c r="M130" i="4" s="1"/>
  <c r="L58" i="4"/>
  <c r="M58" i="4" s="1"/>
  <c r="L106" i="4"/>
  <c r="M106" i="4" s="1"/>
  <c r="L8" i="4"/>
  <c r="M8" i="4" s="1"/>
  <c r="L52" i="4"/>
  <c r="M52" i="4" s="1"/>
  <c r="L137" i="4"/>
  <c r="M137" i="4" s="1"/>
  <c r="L45" i="4"/>
  <c r="M45" i="4" s="1"/>
  <c r="L29" i="4"/>
  <c r="M29" i="4" s="1"/>
  <c r="L39" i="4"/>
  <c r="M39" i="4" s="1"/>
  <c r="L196" i="4"/>
  <c r="M196" i="4" s="1"/>
  <c r="L179" i="4"/>
  <c r="M179" i="4" s="1"/>
  <c r="L71" i="4"/>
  <c r="M71" i="4" s="1"/>
  <c r="L30" i="4"/>
  <c r="M30" i="4" s="1"/>
  <c r="L6" i="4"/>
  <c r="M6" i="4" s="1"/>
  <c r="L26" i="4"/>
  <c r="M26" i="4" s="1"/>
  <c r="L65" i="4"/>
  <c r="M65" i="4" s="1"/>
  <c r="L77" i="4"/>
  <c r="M77" i="4" s="1"/>
  <c r="L155" i="4"/>
  <c r="M155" i="4" s="1"/>
  <c r="L96" i="4"/>
  <c r="M96" i="4" s="1"/>
  <c r="L34" i="4"/>
  <c r="M34" i="4" s="1"/>
  <c r="L118" i="4"/>
  <c r="M118" i="4" s="1"/>
  <c r="L66" i="4"/>
  <c r="M66" i="4" s="1"/>
  <c r="L160" i="4"/>
  <c r="M160" i="4" s="1"/>
  <c r="L88" i="4"/>
  <c r="M88" i="4" s="1"/>
  <c r="L134" i="4"/>
  <c r="M134" i="4" s="1"/>
  <c r="L188" i="4"/>
  <c r="M188" i="4" s="1"/>
  <c r="L128" i="4"/>
  <c r="M128" i="4" s="1"/>
  <c r="L192" i="4"/>
  <c r="M192" i="4" s="1"/>
  <c r="L35" i="4"/>
  <c r="M35" i="4" s="1"/>
  <c r="L46" i="4"/>
  <c r="M46" i="4" s="1"/>
  <c r="L68" i="4"/>
  <c r="M68" i="4" s="1"/>
  <c r="L59" i="4"/>
  <c r="M59" i="4" s="1"/>
  <c r="L98" i="4"/>
  <c r="M98" i="4" s="1"/>
  <c r="L107" i="4"/>
  <c r="M107" i="4" s="1"/>
  <c r="L109" i="4"/>
  <c r="M109" i="4" s="1"/>
  <c r="L194" i="4"/>
  <c r="M194" i="4" s="1"/>
  <c r="L135" i="4"/>
  <c r="M135" i="4" s="1"/>
  <c r="L126" i="4"/>
  <c r="M126" i="4" s="1"/>
  <c r="L13" i="4"/>
  <c r="M13" i="4" s="1"/>
  <c r="L50" i="4"/>
  <c r="M50" i="4" s="1"/>
  <c r="L38" i="4"/>
  <c r="M38" i="4" s="1"/>
  <c r="L21" i="4"/>
  <c r="M21" i="4" s="1"/>
  <c r="L92" i="4"/>
  <c r="M92" i="4" s="1"/>
  <c r="L182" i="4"/>
  <c r="M182" i="4" s="1"/>
  <c r="L142" i="4"/>
  <c r="M142" i="4" s="1"/>
  <c r="L114" i="4"/>
  <c r="M114" i="4" s="1"/>
  <c r="L183" i="4"/>
  <c r="M183" i="4" s="1"/>
  <c r="L53" i="4"/>
  <c r="M53" i="4" s="1"/>
  <c r="L16" i="4"/>
  <c r="M16" i="4" s="1"/>
  <c r="L153" i="4"/>
  <c r="M153" i="4" s="1"/>
  <c r="L105" i="4"/>
  <c r="M105" i="4" s="1"/>
  <c r="L200" i="4"/>
  <c r="M200" i="4" s="1"/>
  <c r="L86" i="4"/>
  <c r="M86" i="4" s="1"/>
  <c r="L97" i="4"/>
  <c r="M97" i="4" s="1"/>
  <c r="L100" i="4"/>
  <c r="M100" i="4" s="1"/>
  <c r="L49" i="4"/>
  <c r="M49" i="4" s="1"/>
  <c r="L191" i="4"/>
  <c r="M191" i="4" s="1"/>
  <c r="L83" i="4"/>
  <c r="M83" i="4" s="1"/>
  <c r="L149" i="4"/>
  <c r="M149" i="4" s="1"/>
  <c r="L144" i="4"/>
  <c r="M144" i="4" s="1"/>
  <c r="L115" i="4"/>
  <c r="M115" i="4" s="1"/>
  <c r="L72" i="4"/>
  <c r="M72" i="4" s="1"/>
  <c r="L140" i="4"/>
  <c r="M140" i="4" s="1"/>
  <c r="L103" i="4"/>
  <c r="M103" i="4" s="1"/>
  <c r="L99" i="4"/>
  <c r="M99" i="4" s="1"/>
  <c r="L163" i="4"/>
  <c r="M163" i="4" s="1"/>
  <c r="L199" i="4"/>
  <c r="M199" i="4" s="1"/>
  <c r="L184" i="4"/>
  <c r="M184" i="4" s="1"/>
  <c r="L69" i="4"/>
  <c r="M69" i="4" s="1"/>
  <c r="L170" i="4"/>
  <c r="M170" i="4" s="1"/>
  <c r="L176" i="4"/>
  <c r="M176" i="4" s="1"/>
  <c r="L42" i="4"/>
  <c r="M42" i="4" s="1"/>
  <c r="L27" i="4"/>
  <c r="M27" i="4" s="1"/>
  <c r="K48" i="4"/>
  <c r="K87" i="4"/>
  <c r="K5" i="4"/>
  <c r="K3" i="4"/>
  <c r="B37" i="11" s="1"/>
  <c r="H131" i="4"/>
  <c r="H199" i="4"/>
  <c r="H123" i="4"/>
  <c r="H155" i="4"/>
  <c r="H75" i="4"/>
  <c r="H193" i="4"/>
  <c r="H167" i="4"/>
  <c r="H191" i="4"/>
  <c r="H108" i="4"/>
  <c r="H175" i="4"/>
  <c r="H71" i="4"/>
  <c r="H99" i="4"/>
  <c r="H151" i="4"/>
  <c r="H135" i="4"/>
  <c r="H183" i="4"/>
  <c r="H152" i="4"/>
  <c r="H192" i="4"/>
  <c r="H90" i="4"/>
  <c r="H133" i="4"/>
  <c r="H129" i="4"/>
  <c r="H159" i="4"/>
  <c r="H127" i="4"/>
  <c r="H119" i="4"/>
  <c r="H95" i="4"/>
  <c r="L3" i="4" l="1"/>
  <c r="L5" i="4"/>
  <c r="M5" i="4" s="1"/>
  <c r="L48" i="4"/>
  <c r="M48" i="4" s="1"/>
  <c r="L87" i="4"/>
  <c r="M87" i="4" s="1"/>
  <c r="M3" i="4" l="1"/>
  <c r="B38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Regan Housley</author>
    <author>tc={98F31CA5-A406-4048-9CEF-809800D96031}</author>
  </authors>
  <commentList>
    <comment ref="A1" authorId="0" shapeId="0" xr:uid="{51875175-94C0-4C9D-82C0-DA637845875C}">
      <text>
        <r>
          <rPr>
            <sz val="9"/>
            <color indexed="81"/>
            <rFont val="Tahoma"/>
            <family val="2"/>
          </rPr>
          <t xml:space="preserve">To filter Unit Code options type the target unit code into this cell.
</t>
        </r>
        <r>
          <rPr>
            <i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 if you are entering hours to account for workload in a non-school unit use the code </t>
        </r>
        <r>
          <rPr>
            <i/>
            <sz val="9"/>
            <color indexed="81"/>
            <rFont val="Tahoma"/>
            <family val="2"/>
          </rPr>
          <t>Non-[SCHOOL] Unit</t>
        </r>
        <r>
          <rPr>
            <sz val="9"/>
            <color indexed="81"/>
            <rFont val="Tahoma"/>
            <family val="2"/>
          </rPr>
          <t>. This will only allow us to take this into account internally. The WL points for these units will need to be added to Hyperion by the relevant school (not [SCHOOL]).</t>
        </r>
      </text>
    </comment>
    <comment ref="C1" authorId="0" shapeId="0" xr:uid="{76A596B6-BCF4-4D86-99BB-1F52C70057ED}">
      <text>
        <r>
          <rPr>
            <sz val="9"/>
            <color indexed="81"/>
            <rFont val="Tahoma"/>
            <family val="2"/>
          </rPr>
          <t xml:space="preserve">To filter Staff Member start typing the first name, surname OR Staff ID into this box. </t>
        </r>
      </text>
    </comment>
    <comment ref="AZ2" authorId="0" shapeId="0" xr:uid="{F8D5ADF9-5140-41BD-BE76-95D2EC3F4B25}">
      <text>
        <r>
          <rPr>
            <sz val="9"/>
            <color indexed="81"/>
            <rFont val="Tahoma"/>
            <family val="2"/>
          </rPr>
          <t>If you are unsure please check with the unit coordinator.</t>
        </r>
      </text>
    </comment>
    <comment ref="BL2" authorId="0" shapeId="0" xr:uid="{0C9F369B-268E-4F57-BBBB-4E6CFE697DA0}">
      <text>
        <r>
          <rPr>
            <sz val="9"/>
            <color indexed="81"/>
            <rFont val="Tahoma"/>
            <family val="2"/>
          </rPr>
          <t>I.e. if you supervise 3 students at:
     Student 1 50%
     Student 2 50%
     Student 3 30%
The total proportion of students supervised is 1.3 (130%)</t>
        </r>
      </text>
    </comment>
    <comment ref="C16" authorId="1" shapeId="0" xr:uid="{98F31CA5-A406-4048-9CEF-809800D9603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Tavis is a casual, not on Libby’s staffing list ?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Regan Housley</author>
  </authors>
  <commentList>
    <comment ref="C3" authorId="0" shapeId="0" xr:uid="{B4F4750F-5A9C-48CF-8621-1B303AF34C01}">
      <text>
        <r>
          <rPr>
            <sz val="9"/>
            <color indexed="81"/>
            <rFont val="Tahoma"/>
            <family val="2"/>
          </rPr>
          <t>I.e. if you supervise 3 students at:
     Student 1 50%
     Student 2 50%
     Student 3 30%
The total proportion of students supervised is 1.3 (130%)</t>
        </r>
      </text>
    </comment>
    <comment ref="E3" authorId="0" shapeId="0" xr:uid="{1308C2B6-625F-4B0B-9E23-518E4869A059}">
      <text>
        <r>
          <rPr>
            <sz val="9"/>
            <color indexed="81"/>
            <rFont val="Tahoma"/>
            <family val="2"/>
          </rPr>
          <t>I.e. if you supervise 3 students at:
     Student 1 50%
     Student 2 50%
     Student 3 30%
The total proportion of students supervised is 1.3 (130%)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Regan Housley</author>
  </authors>
  <commentList>
    <comment ref="D1" authorId="0" shapeId="0" xr:uid="{6022856F-A388-4810-9EF2-B77C8C9F28E4}">
      <text>
        <r>
          <rPr>
            <sz val="9"/>
            <color indexed="81"/>
            <rFont val="Tahoma"/>
            <family val="2"/>
          </rPr>
          <t>To filter Assigned Roles start typing the name of the role into this box.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tc={981EE587-8F3A-48FE-BF49-2C0BD309AD60}</author>
    <author>tc={4D37A8E5-0545-4FF3-B752-B724719D626B}</author>
  </authors>
  <commentList>
    <comment ref="H2" authorId="0" shapeId="0" xr:uid="{981EE587-8F3A-48FE-BF49-2C0BD309AD6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Check with HoS  T&amp;R breakdown ratios are </t>
      </text>
    </comment>
    <comment ref="I2" authorId="1" shapeId="0" xr:uid="{4D37A8E5-0545-4FF3-B752-B724719D62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Check with HoS  T&amp;R breakdown ratios are 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tc={173B95F7-18AE-45EE-A87D-90D7BB9BC330}</author>
  </authors>
  <commentList>
    <comment ref="D2" authorId="0" shapeId="0" xr:uid="{173B95F7-18AE-45EE-A87D-90D7BB9BC33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Hos to check, I have amended this to fall in line with other HoS. 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<sst xmlns="http://schemas.openxmlformats.org/spreadsheetml/2006/main" count="2145" uniqueCount="842">
  <si>
    <t>Summary - Staff</t>
  </si>
  <si>
    <t>Enter CTRL-SHIFT-R to update pivot tables.</t>
  </si>
  <si>
    <t>Pivot Table - Teaching</t>
  </si>
  <si>
    <t>Pivot Table - Assigned Role &amp; Service</t>
  </si>
  <si>
    <t>Pivot Table - HDR</t>
  </si>
  <si>
    <t>Staff Member</t>
  </si>
  <si>
    <t>Staff FTE</t>
  </si>
  <si>
    <t>Teaching</t>
  </si>
  <si>
    <t>Assigned Role</t>
  </si>
  <si>
    <t>Self-Directed Service</t>
  </si>
  <si>
    <t>HDR</t>
  </si>
  <si>
    <t>Research (not inc. HDR)</t>
  </si>
  <si>
    <t>All Activities</t>
  </si>
  <si>
    <t>Target T:R</t>
  </si>
  <si>
    <t>Target Band</t>
  </si>
  <si>
    <t>Calculated T:R</t>
  </si>
  <si>
    <t>Calculated Band</t>
  </si>
  <si>
    <t>T:R Discrepancy?</t>
  </si>
  <si>
    <t>Unit Code</t>
  </si>
  <si>
    <t>Total Teaching Workload</t>
  </si>
  <si>
    <t>Unit Coordinatation</t>
  </si>
  <si>
    <t>Teaching Activities</t>
  </si>
  <si>
    <t>Unit Supervision Activities</t>
  </si>
  <si>
    <t>New Unit Development</t>
  </si>
  <si>
    <t>Assigned Roles - Total</t>
  </si>
  <si>
    <t>Row Labels</t>
  </si>
  <si>
    <t>HDR Supervision</t>
  </si>
  <si>
    <t>(blank)</t>
  </si>
  <si>
    <t xml:space="preserve">, </t>
  </si>
  <si>
    <t>CITS2002</t>
  </si>
  <si>
    <t>CITS2200</t>
  </si>
  <si>
    <t>CITS4010</t>
  </si>
  <si>
    <t>CITS4011</t>
  </si>
  <si>
    <t>CITS2401</t>
  </si>
  <si>
    <t>CITS3002</t>
  </si>
  <si>
    <t>CITS4009</t>
  </si>
  <si>
    <t>CITS3006</t>
  </si>
  <si>
    <t>CITS3007</t>
  </si>
  <si>
    <t>CITS3301; CITS4401</t>
  </si>
  <si>
    <t>CITS5501; CITS3501</t>
  </si>
  <si>
    <t>CITS5014</t>
  </si>
  <si>
    <t>CITS5506</t>
  </si>
  <si>
    <t>CITS5551</t>
  </si>
  <si>
    <t>CITS5552</t>
  </si>
  <si>
    <t>CITS5206</t>
  </si>
  <si>
    <t>CITS4404</t>
  </si>
  <si>
    <t>CITS5507; CITS3402</t>
  </si>
  <si>
    <t>PHYS4022</t>
  </si>
  <si>
    <t>SHPC4001</t>
  </si>
  <si>
    <t>CITS1401</t>
  </si>
  <si>
    <t>CITS3011</t>
  </si>
  <si>
    <t>CITS2402</t>
  </si>
  <si>
    <t>CITS3009</t>
  </si>
  <si>
    <t>CITS5015</t>
  </si>
  <si>
    <t>CITS5017</t>
  </si>
  <si>
    <t>CITS5508</t>
  </si>
  <si>
    <t>PHYS5035</t>
  </si>
  <si>
    <t>PHYS5303</t>
  </si>
  <si>
    <t>PHYS5304</t>
  </si>
  <si>
    <t>CITS1003</t>
  </si>
  <si>
    <t>CITS2005</t>
  </si>
  <si>
    <t>CITS3001</t>
  </si>
  <si>
    <t>CITS4407</t>
  </si>
  <si>
    <t>CITS1501</t>
  </si>
  <si>
    <t>PHYS5301</t>
  </si>
  <si>
    <t>PHYS5302</t>
  </si>
  <si>
    <t>PHYS5401</t>
  </si>
  <si>
    <t>PHYS5406</t>
  </si>
  <si>
    <t>PHYS5407</t>
  </si>
  <si>
    <t>PHYS5408</t>
  </si>
  <si>
    <t>PHYS5409</t>
  </si>
  <si>
    <t>PHYS5435</t>
  </si>
  <si>
    <t>PHYS5436</t>
  </si>
  <si>
    <t>CITS1402</t>
  </si>
  <si>
    <t>CITS3401; CITS5504</t>
  </si>
  <si>
    <t>CITS5503</t>
  </si>
  <si>
    <t>CITS5553</t>
  </si>
  <si>
    <t>Grand Total</t>
  </si>
  <si>
    <t>CITS2006</t>
  </si>
  <si>
    <t>CITS3403; CITS5505</t>
  </si>
  <si>
    <t>CITS4403</t>
  </si>
  <si>
    <t>SCIE1501</t>
  </si>
  <si>
    <t>CITS2211</t>
  </si>
  <si>
    <t>CITS3200</t>
  </si>
  <si>
    <t>CITS3003</t>
  </si>
  <si>
    <t>CITS4402</t>
  </si>
  <si>
    <t>CITS4012</t>
  </si>
  <si>
    <t>CITS3005</t>
  </si>
  <si>
    <t>CITS4010; CITS4011; CITS5014; CITS5015</t>
  </si>
  <si>
    <t>MATH1011</t>
  </si>
  <si>
    <t>MATH3033</t>
  </si>
  <si>
    <t>MATH4002</t>
  </si>
  <si>
    <t>MATH4031</t>
  </si>
  <si>
    <t>MATH3002</t>
  </si>
  <si>
    <t>MATH2030</t>
  </si>
  <si>
    <t>MATH1012</t>
  </si>
  <si>
    <t>MATH3031</t>
  </si>
  <si>
    <t>MATH2501</t>
  </si>
  <si>
    <t>MATH3023</t>
  </si>
  <si>
    <t>MATH2032</t>
  </si>
  <si>
    <t>MATH3021</t>
  </si>
  <si>
    <t>MATH1013</t>
  </si>
  <si>
    <t>MATH4032</t>
  </si>
  <si>
    <t>MATH1014</t>
  </si>
  <si>
    <t>MATH1720</t>
  </si>
  <si>
    <t>MATH4001</t>
  </si>
  <si>
    <t>MATH3024</t>
  </si>
  <si>
    <t>MATH1721</t>
  </si>
  <si>
    <t>MATH4033</t>
  </si>
  <si>
    <t>MATH1722</t>
  </si>
  <si>
    <t>MATH2021</t>
  </si>
  <si>
    <t>MATH2064</t>
  </si>
  <si>
    <t>MATH3022</t>
  </si>
  <si>
    <t>MATH3032</t>
  </si>
  <si>
    <t>MATH3034</t>
  </si>
  <si>
    <t>PHYS5045</t>
  </si>
  <si>
    <t>MATH4021</t>
  </si>
  <si>
    <t>MATH4022</t>
  </si>
  <si>
    <t>MATH4023</t>
  </si>
  <si>
    <t>STAT4061</t>
  </si>
  <si>
    <t>STAT1400</t>
  </si>
  <si>
    <t>STAT1520</t>
  </si>
  <si>
    <t>STAT3405</t>
  </si>
  <si>
    <t>STAT4062</t>
  </si>
  <si>
    <t>STAT4066</t>
  </si>
  <si>
    <t>STAT2062</t>
  </si>
  <si>
    <t>STAT3061</t>
  </si>
  <si>
    <t>STAT3062</t>
  </si>
  <si>
    <t>PHYS1200</t>
  </si>
  <si>
    <t>STAT2401</t>
  </si>
  <si>
    <t>STAT3401</t>
  </si>
  <si>
    <t>STAT4063</t>
  </si>
  <si>
    <t>STAT4065</t>
  </si>
  <si>
    <t>STAT2402</t>
  </si>
  <si>
    <t>STAT3064</t>
  </si>
  <si>
    <t>STAT3406</t>
  </si>
  <si>
    <t>STAT4064</t>
  </si>
  <si>
    <t>STAT5061</t>
  </si>
  <si>
    <t>Non-PMC Unit</t>
  </si>
  <si>
    <t>STAT3063</t>
  </si>
  <si>
    <t>STAT2063</t>
  </si>
  <si>
    <t>ANHB5451</t>
  </si>
  <si>
    <t>PHYS5402</t>
  </si>
  <si>
    <t>PHYS5403</t>
  </si>
  <si>
    <t>PHYS5404</t>
  </si>
  <si>
    <t>PHYS1001</t>
  </si>
  <si>
    <t>PHYS1002</t>
  </si>
  <si>
    <t>PHYS1100</t>
  </si>
  <si>
    <t>PHYS3011</t>
  </si>
  <si>
    <t>PHYS3100</t>
  </si>
  <si>
    <t>PHYS2001</t>
  </si>
  <si>
    <t>PHYS2002</t>
  </si>
  <si>
    <t>PHYS2003</t>
  </si>
  <si>
    <t>PHYS3002</t>
  </si>
  <si>
    <t>PHYS1021</t>
  </si>
  <si>
    <t>PHYS1030</t>
  </si>
  <si>
    <t>PHYS3006</t>
  </si>
  <si>
    <t>PHYS3012</t>
  </si>
  <si>
    <t>PHYS5025</t>
  </si>
  <si>
    <t>PHYS4002</t>
  </si>
  <si>
    <t>PHYS4003</t>
  </si>
  <si>
    <t>PHYS4004</t>
  </si>
  <si>
    <t>PHYS5020</t>
  </si>
  <si>
    <t>PHYS5026</t>
  </si>
  <si>
    <t>PHYS3005</t>
  </si>
  <si>
    <t>PHYS2100</t>
  </si>
  <si>
    <t>PHYS3003</t>
  </si>
  <si>
    <t>PHYS4420</t>
  </si>
  <si>
    <t>SCIE2212</t>
  </si>
  <si>
    <t>PHYS3001</t>
  </si>
  <si>
    <t>PHYS4415</t>
  </si>
  <si>
    <t>PHYS5010</t>
  </si>
  <si>
    <t>PHYS4020</t>
  </si>
  <si>
    <t>PHYS5015</t>
  </si>
  <si>
    <t>PHYS4021</t>
  </si>
  <si>
    <t>PHYS5036</t>
  </si>
  <si>
    <t>PHYS4010</t>
  </si>
  <si>
    <t>PHYS5016</t>
  </si>
  <si>
    <t>PHYS4418</t>
  </si>
  <si>
    <t>PHYS5513</t>
  </si>
  <si>
    <t>SCIE1121</t>
  </si>
  <si>
    <t>PHYS5510</t>
  </si>
  <si>
    <t>PHYS5562</t>
  </si>
  <si>
    <t>PHYS5563</t>
  </si>
  <si>
    <t>Summary Report- Staff Member</t>
  </si>
  <si>
    <t>TEACHING</t>
  </si>
  <si>
    <t>Unit Coordination</t>
  </si>
  <si>
    <t>SERVICE &amp; ENGAGEMENT</t>
  </si>
  <si>
    <t>Self Directed Service Points</t>
  </si>
  <si>
    <t>Assigned Role Points</t>
  </si>
  <si>
    <t>Assigned Roles</t>
  </si>
  <si>
    <t>Assigned Role 1:</t>
  </si>
  <si>
    <t>Assigned Role 2:</t>
  </si>
  <si>
    <t>Assigned Role 3:</t>
  </si>
  <si>
    <t>Assigned Role 4:</t>
  </si>
  <si>
    <t>Assigned Role 5:</t>
  </si>
  <si>
    <t>Assigned Role 6:</t>
  </si>
  <si>
    <t>SUMMARY</t>
  </si>
  <si>
    <t>Calculated Teaching:Research Ratio</t>
  </si>
  <si>
    <t>Calculated Teaching:Research Band</t>
  </si>
  <si>
    <t>Total Teaching Activity</t>
  </si>
  <si>
    <t>Total Unit Coordinatation</t>
  </si>
  <si>
    <t>Total Unit Supervision Activities</t>
  </si>
  <si>
    <t>Total New Unit Development</t>
  </si>
  <si>
    <t>% of Total Teaching WL</t>
  </si>
  <si>
    <t>Unit Coordinatation WL Points</t>
  </si>
  <si>
    <t>% of Unit Coordinatation WL</t>
  </si>
  <si>
    <t>Teaching Activity WL Points</t>
  </si>
  <si>
    <t>% Teaching Activity WL</t>
  </si>
  <si>
    <t>Unit Supervision Activities WL Points</t>
  </si>
  <si>
    <t>% Unit Supervision Activities WL</t>
  </si>
  <si>
    <t>New Unit Development WL Points</t>
  </si>
  <si>
    <t>% New Unit Development WL</t>
  </si>
  <si>
    <t>Total Teaching - by Enrolment</t>
  </si>
  <si>
    <t>Staff Type</t>
  </si>
  <si>
    <t>Total Teaching Hours</t>
  </si>
  <si>
    <t>Total Teaching WL Points</t>
  </si>
  <si>
    <t>Average of Enrolment #</t>
  </si>
  <si>
    <t>Teaching Hours per Student</t>
  </si>
  <si>
    <t>WL Points per Student</t>
  </si>
  <si>
    <t xml:space="preserve"> </t>
  </si>
  <si>
    <t>Academic staff</t>
  </si>
  <si>
    <t>The below tables provide the summarised required data for the UWA WL Data Collection Template</t>
  </si>
  <si>
    <t>Teaching Tab</t>
  </si>
  <si>
    <t>HDR Supervision Tab</t>
  </si>
  <si>
    <t>Service &amp; Roles</t>
  </si>
  <si>
    <t>Total Teaching Workload WL Points</t>
  </si>
  <si>
    <t>Sum of WL Points</t>
  </si>
  <si>
    <t>Self-Directed Service Points</t>
  </si>
  <si>
    <t>Role1</t>
  </si>
  <si>
    <t>Points1</t>
  </si>
  <si>
    <t>Role2</t>
  </si>
  <si>
    <t>Points2</t>
  </si>
  <si>
    <t>Role3</t>
  </si>
  <si>
    <t>Points3</t>
  </si>
  <si>
    <t>Role4</t>
  </si>
  <si>
    <t>Points4</t>
  </si>
  <si>
    <t>Role5</t>
  </si>
  <si>
    <t>Points5</t>
  </si>
  <si>
    <t>Role6</t>
  </si>
  <si>
    <t>Points6</t>
  </si>
  <si>
    <t>Outreach activities chair M&amp;S</t>
  </si>
  <si>
    <t>Program Chair  Computer Science</t>
  </si>
  <si>
    <t>ACS Accreditation every 5 years</t>
  </si>
  <si>
    <t>Curriculum Committee Working Groups Chair Physics</t>
  </si>
  <si>
    <t>ARC Centre - Physics</t>
  </si>
  <si>
    <t>Graduate Research Coordinator (incl Scholarships) M&amp;S</t>
  </si>
  <si>
    <t>TLC member M&amp;S</t>
  </si>
  <si>
    <t>Department Review Coordinator Physics</t>
  </si>
  <si>
    <t>Lab Committee Chairs  Physics</t>
  </si>
  <si>
    <t>Head of Department CSSE (not including other assigned roles)</t>
  </si>
  <si>
    <t xml:space="preserve">Program Chair MIT </t>
  </si>
  <si>
    <t>Chair Ed Committtee PMC</t>
  </si>
  <si>
    <t>Program Chair Data Science MDS+DS</t>
  </si>
  <si>
    <t>Program Chair u/g  Physics (lectures)</t>
  </si>
  <si>
    <t>Chem Eng Teaching</t>
  </si>
  <si>
    <t>Honours coordinator M&amp;S</t>
  </si>
  <si>
    <t>Chair Safety Committee - PMC</t>
  </si>
  <si>
    <t>Program Chair Hons/Masters Physics</t>
  </si>
  <si>
    <t>Acting Deputy Programme chair M&amp;S</t>
  </si>
  <si>
    <t>TLC member Chair M&amp;S</t>
  </si>
  <si>
    <t>School Academic Misconduct Advisor Physics</t>
  </si>
  <si>
    <t>Prog Chair Med Physics</t>
  </si>
  <si>
    <t xml:space="preserve">Program Chair  India </t>
  </si>
  <si>
    <t>Programme chair M&amp;S</t>
  </si>
  <si>
    <t>Program &amp; Specialisation Chairs Astro Physics</t>
  </si>
  <si>
    <t>Chair DEI - PMC</t>
  </si>
  <si>
    <t>Deputy programme chair M&amp;S</t>
  </si>
  <si>
    <t>Program &amp; Specialisation Chairs Mediical Physics</t>
  </si>
  <si>
    <t>Chair BoE - PMC</t>
  </si>
  <si>
    <t>Program &amp; Specialisation Chairs Experimental Physics</t>
  </si>
  <si>
    <t>Head of department M&amp;S</t>
  </si>
  <si>
    <t>Chair Research Committee - PMC</t>
  </si>
  <si>
    <t>Dept HoD</t>
  </si>
  <si>
    <t>Outreach Coordinator Physics</t>
  </si>
  <si>
    <t>School Academic Misconduct Advisor M&amp;S</t>
  </si>
  <si>
    <t>GRC CSSE (not Scholarships)</t>
  </si>
  <si>
    <t>Program Chair u/g  Physics (=labs)</t>
  </si>
  <si>
    <t>GRC Existing Students Physics</t>
  </si>
  <si>
    <t>Program Chair  International</t>
  </si>
  <si>
    <t xml:space="preserve">Program Chair Software Eng </t>
  </si>
  <si>
    <t>Dept Research Chair CSSE and Scholarships</t>
  </si>
  <si>
    <t>School Academic Misconduct Advisor CSSE</t>
  </si>
  <si>
    <t>Head of School (not including other assigned roles)</t>
  </si>
  <si>
    <t>Social Media Coordinator Physics</t>
  </si>
  <si>
    <t>Health and Safety and Mental Health First Aid CSSE</t>
  </si>
  <si>
    <t>GRS Committee M&amp;S</t>
  </si>
  <si>
    <t>Program Chair BACS and Cybersecurity</t>
  </si>
  <si>
    <t>Centre for applied statistics M&amp;S</t>
  </si>
  <si>
    <t>Scientific communications teaching M&amp;S</t>
  </si>
  <si>
    <t>Head of Department Physics</t>
  </si>
  <si>
    <t>Program &amp; Specialisation Chairs Quantum Computing</t>
  </si>
  <si>
    <t>GRC scholarships Physics</t>
  </si>
  <si>
    <t>Program Chair CBM Physics</t>
  </si>
  <si>
    <t>Program Chair Minor Physics</t>
  </si>
  <si>
    <t xml:space="preserve"> &lt;-- filter dropdowns --&gt;</t>
  </si>
  <si>
    <t>Activities Specific to Unit Coordinator Role</t>
  </si>
  <si>
    <r>
      <t xml:space="preserve">Lecture 2:1
</t>
    </r>
    <r>
      <rPr>
        <i/>
        <sz val="11"/>
        <color theme="1"/>
        <rFont val="Calibri"/>
        <family val="2"/>
        <scheme val="minor"/>
      </rPr>
      <t>Revising a lecture from last year but without a new textbook edition, or updates</t>
    </r>
  </si>
  <si>
    <r>
      <t xml:space="preserve">Lecture 3:1
</t>
    </r>
    <r>
      <rPr>
        <i/>
        <sz val="11"/>
        <color theme="1"/>
        <rFont val="Calibri"/>
        <family val="2"/>
        <scheme val="minor"/>
      </rPr>
      <t>Revising a lecture from last year but with a new textbook edition, or updates</t>
    </r>
  </si>
  <si>
    <r>
      <t xml:space="preserve">Lecture 4:1
</t>
    </r>
    <r>
      <rPr>
        <i/>
        <sz val="11"/>
        <color theme="1"/>
        <rFont val="Calibri"/>
        <family val="2"/>
        <scheme val="minor"/>
      </rPr>
      <t>Brand new lecture</t>
    </r>
  </si>
  <si>
    <t>Tutorial</t>
  </si>
  <si>
    <t>Repeat Tutorial</t>
  </si>
  <si>
    <t>Lab/Workshop/Seminar</t>
  </si>
  <si>
    <t>Field Trip</t>
  </si>
  <si>
    <r>
      <t>ORAA (Other Required Academic Activities)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For example developing teaching materials (beyond standard prep).</t>
    </r>
  </si>
  <si>
    <r>
      <t xml:space="preserve">Assessments - Marking
</t>
    </r>
    <r>
      <rPr>
        <i/>
        <sz val="11"/>
        <color theme="1"/>
        <rFont val="Calibri"/>
        <family val="2"/>
        <scheme val="minor"/>
      </rPr>
      <t>Inc. Honours and Masters thesis marking</t>
    </r>
  </si>
  <si>
    <r>
      <t xml:space="preserve">Assessments - Moderation
</t>
    </r>
    <r>
      <rPr>
        <i/>
        <sz val="11"/>
        <color theme="1"/>
        <rFont val="Calibri"/>
        <family val="2"/>
        <scheme val="minor"/>
      </rPr>
      <t>For units with mupltiple assignment/exam markers the unit coordinator should check 50 papers or 10% of assignments/exams for moderation</t>
    </r>
    <r>
      <rPr>
        <b/>
        <sz val="11"/>
        <color theme="1"/>
        <rFont val="Calibri"/>
        <family val="2"/>
        <scheme val="minor"/>
      </rPr>
      <t>.</t>
    </r>
  </si>
  <si>
    <t>Assessments - Invigilation</t>
  </si>
  <si>
    <r>
      <t xml:space="preserve">Honours/Masters Project Supervision.
</t>
    </r>
    <r>
      <rPr>
        <i/>
        <sz val="11"/>
        <color theme="1"/>
        <rFont val="Calibri"/>
        <family val="2"/>
        <scheme val="minor"/>
      </rPr>
      <t>HDR Supervision captured under Research
 Includes expectation to mark the same number of theses as students.</t>
    </r>
  </si>
  <si>
    <r>
      <t xml:space="preserve">New Unit Development
</t>
    </r>
    <r>
      <rPr>
        <i/>
        <sz val="11"/>
        <color theme="1"/>
        <rFont val="Calibri"/>
        <family val="2"/>
        <scheme val="minor"/>
      </rPr>
      <t>Must be agreed with Head of School.</t>
    </r>
  </si>
  <si>
    <t>Enrolment #</t>
  </si>
  <si>
    <t>vlookup - UC</t>
  </si>
  <si>
    <t>Unit Code + Staff Member</t>
  </si>
  <si>
    <t>Duplicate</t>
  </si>
  <si>
    <t>vlookup anchor - Teaching</t>
  </si>
  <si>
    <t>Total Teaching Workload Scaled Hours</t>
  </si>
  <si>
    <t>Total Unit Coordinatation Scaled Hours</t>
  </si>
  <si>
    <t>Total Unit Coordinatation WL Points</t>
  </si>
  <si>
    <t>Total Teaching Activity Scaled Hours</t>
  </si>
  <si>
    <t>Total Teaching Activity WL Points</t>
  </si>
  <si>
    <t>Total Unit Supervision Activities Scaled Hours</t>
  </si>
  <si>
    <t>Total Unit Supervision Activities WL Points</t>
  </si>
  <si>
    <t>Total New Unit Development Scaled Hours</t>
  </si>
  <si>
    <t>Total New Unit Development WL Points</t>
  </si>
  <si>
    <t>Total Workload HRs (from department calculation)</t>
  </si>
  <si>
    <t>Is the staff member a UC for the unit?</t>
  </si>
  <si>
    <t>What is the unit enrolment?</t>
  </si>
  <si>
    <t>UC tariff for unit</t>
  </si>
  <si>
    <t>% of UC role performed by staff member (between 0.0 and 1.0)</t>
  </si>
  <si>
    <t>Scaled Hrs (1:1)</t>
  </si>
  <si>
    <t>WL Points</t>
  </si>
  <si>
    <t>Contact Hrs</t>
  </si>
  <si>
    <t>Scaled Hrs (2:1)</t>
  </si>
  <si>
    <t>Scaled Hrs (3:1)</t>
  </si>
  <si>
    <t>Scaled Hrs (4:1)</t>
  </si>
  <si>
    <t>Assessment Name (i.e. essay)</t>
  </si>
  <si>
    <t>No. of students/ items marked</t>
  </si>
  <si>
    <t>Expected minutes per student/item</t>
  </si>
  <si>
    <t>Total Marking Hrs.</t>
  </si>
  <si>
    <t>No. of students/ items checked</t>
  </si>
  <si>
    <t>Expected minutes per student/item for marking</t>
  </si>
  <si>
    <t>Total Moderation Hrs.</t>
  </si>
  <si>
    <t>No. of students supervised</t>
  </si>
  <si>
    <t>Total proportion of students supervised</t>
  </si>
  <si>
    <t>CWS Hours per Student</t>
  </si>
  <si>
    <t>Total supervision hours</t>
  </si>
  <si>
    <t>Total hours</t>
  </si>
  <si>
    <r>
      <t xml:space="preserve">HDR Project Supervision
</t>
    </r>
    <r>
      <rPr>
        <i/>
        <sz val="11"/>
        <color theme="1"/>
        <rFont val="Calibri"/>
        <family val="2"/>
        <scheme val="minor"/>
      </rPr>
      <t>Honours/Masters Project Supervision captured under Data Entry - Teaching</t>
    </r>
  </si>
  <si>
    <t>HDR Points</t>
  </si>
  <si>
    <t>Points</t>
  </si>
  <si>
    <t>Hours</t>
  </si>
  <si>
    <t>Full time students</t>
  </si>
  <si>
    <t>Part time students</t>
  </si>
  <si>
    <t>Full Time student</t>
  </si>
  <si>
    <t>Part time student</t>
  </si>
  <si>
    <t>filter dropdowns --&gt;</t>
  </si>
  <si>
    <t>Role 1</t>
  </si>
  <si>
    <t>Role 2</t>
  </si>
  <si>
    <t>Role 3</t>
  </si>
  <si>
    <t>Role 4</t>
  </si>
  <si>
    <t>Role 5</t>
  </si>
  <si>
    <t>Role 6</t>
  </si>
  <si>
    <t>Assigned Roles - Total Points</t>
  </si>
  <si>
    <t>Staff Name</t>
  </si>
  <si>
    <t>Staff Number</t>
  </si>
  <si>
    <t>FTE</t>
  </si>
  <si>
    <t>Function</t>
  </si>
  <si>
    <t>Target Teaching %</t>
  </si>
  <si>
    <t>Target Research %</t>
  </si>
  <si>
    <t>Target T:R Balance</t>
  </si>
  <si>
    <r>
      <rPr>
        <b/>
        <sz val="11"/>
        <color theme="1"/>
        <rFont val="Calibri"/>
        <family val="2"/>
        <scheme val="minor"/>
      </rPr>
      <t>Staff Member Data Filter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(drop-down list)</t>
    </r>
  </si>
  <si>
    <t>Paid casual staff</t>
  </si>
  <si>
    <t>T &amp; R</t>
  </si>
  <si>
    <t>Professional staff performing academic duties</t>
  </si>
  <si>
    <t>Paid external/emeritus/off-load contributers</t>
  </si>
  <si>
    <t>Unpaid external/emeritus/off-load contributers</t>
  </si>
  <si>
    <t>Resrch</t>
  </si>
  <si>
    <t>Teach</t>
  </si>
  <si>
    <t>Academic NA</t>
  </si>
  <si>
    <t>N/A</t>
  </si>
  <si>
    <t>Unit Codes</t>
  </si>
  <si>
    <t>Unit Name</t>
  </si>
  <si>
    <t>Grouped Unit?</t>
  </si>
  <si>
    <t>Enrolment # (29.04.24)</t>
  </si>
  <si>
    <t>Expected UC Tariff</t>
  </si>
  <si>
    <t>CWS Hrs. Per Student</t>
  </si>
  <si>
    <r>
      <t xml:space="preserve">Unit Code Data Filter </t>
    </r>
    <r>
      <rPr>
        <i/>
        <sz val="11"/>
        <color theme="1"/>
        <rFont val="Calibri"/>
        <family val="2"/>
        <scheme val="minor"/>
      </rPr>
      <t>(drop-down list)</t>
    </r>
  </si>
  <si>
    <t>Anatomy and Biology for Medical Physicists</t>
  </si>
  <si>
    <t>ASTRM401</t>
  </si>
  <si>
    <t>Features of the Universe for Teachers</t>
  </si>
  <si>
    <t>ASTRM402</t>
  </si>
  <si>
    <t>Astrophysical Concepts</t>
  </si>
  <si>
    <t>BIOP5920</t>
  </si>
  <si>
    <t>M.Phil.Thesis (Biophysics)</t>
  </si>
  <si>
    <t>BIOP5921</t>
  </si>
  <si>
    <t>BIOP8920</t>
  </si>
  <si>
    <t>Ph.D.Thesis (Biophysics)</t>
  </si>
  <si>
    <t>BIOP8921</t>
  </si>
  <si>
    <t>BIOP9825</t>
  </si>
  <si>
    <t>M.Sc.Thesis (Biophysics)</t>
  </si>
  <si>
    <t>BIOP9826</t>
  </si>
  <si>
    <t>BIOP9920</t>
  </si>
  <si>
    <t>BIOP9921</t>
  </si>
  <si>
    <t>Introduction to Cybersecurity</t>
  </si>
  <si>
    <t>Computational Thinking with Python</t>
  </si>
  <si>
    <t>Relational Database Management Systems</t>
  </si>
  <si>
    <t>Introduction to Programming with Python</t>
  </si>
  <si>
    <t>Systems Programming</t>
  </si>
  <si>
    <t>Object Oriented Programming</t>
  </si>
  <si>
    <t>Defensive Cybersecurity</t>
  </si>
  <si>
    <t>Data Structures and Algorithms</t>
  </si>
  <si>
    <t>Discrete Structures</t>
  </si>
  <si>
    <t>Computer Analysis and Visualisation</t>
  </si>
  <si>
    <t>Introduction to Data Science</t>
  </si>
  <si>
    <t>Advanced Algorithms</t>
  </si>
  <si>
    <t>Computer Networks</t>
  </si>
  <si>
    <t>Graphics and Animation</t>
  </si>
  <si>
    <t>Knowledge Representation</t>
  </si>
  <si>
    <t>Penetration Testing</t>
  </si>
  <si>
    <t>Secure Coding</t>
  </si>
  <si>
    <t>Computer Science WIL Internship</t>
  </si>
  <si>
    <t>Intelligent Agents</t>
  </si>
  <si>
    <t>Professional Computing</t>
  </si>
  <si>
    <t>CITS3301</t>
  </si>
  <si>
    <t>Software Requirements and Design</t>
  </si>
  <si>
    <t>CITS3401</t>
  </si>
  <si>
    <t>Data Warehousing</t>
  </si>
  <si>
    <t>CITS3402</t>
  </si>
  <si>
    <t>High Performance Computing</t>
  </si>
  <si>
    <t>CITS3403</t>
  </si>
  <si>
    <t>Agile Web Development</t>
  </si>
  <si>
    <t>CITS3501</t>
  </si>
  <si>
    <t>Software Testing and Quality Assurance</t>
  </si>
  <si>
    <t>Computational Data Analysis</t>
  </si>
  <si>
    <t>Computer Science Honours Research Project Part 1</t>
  </si>
  <si>
    <t>Computer Science Honours Research Project Part 2</t>
  </si>
  <si>
    <t>Natural Language Processing</t>
  </si>
  <si>
    <t>CITS4401</t>
  </si>
  <si>
    <t>Computer Vision</t>
  </si>
  <si>
    <t>Computational Modelling</t>
  </si>
  <si>
    <t>Artificial Intelligence and Adaptive Systems</t>
  </si>
  <si>
    <t>Open Source Tools and Scripting</t>
  </si>
  <si>
    <t>CITS4700</t>
  </si>
  <si>
    <t>B.Sc.Hons.(Comp.Sc.&amp; Swr.Eng.)</t>
  </si>
  <si>
    <t>CITS4800</t>
  </si>
  <si>
    <t>B.Phil.Hons.(Comp.Sc.&amp; Swr.Eng.)</t>
  </si>
  <si>
    <t>CITS4810</t>
  </si>
  <si>
    <t>B.AdvCompSci.Hons (Comp.DataSci)</t>
  </si>
  <si>
    <t>CITS4820</t>
  </si>
  <si>
    <t>B.AdvCompSci.Hons (Art.Int)</t>
  </si>
  <si>
    <t>CITS4830</t>
  </si>
  <si>
    <t>B.AdvCompSci.Hons (Int.Cyber)</t>
  </si>
  <si>
    <t>CITS4840</t>
  </si>
  <si>
    <t>B.AdvCompSci.Hons (Quant.Comp)</t>
  </si>
  <si>
    <t>CITS4850</t>
  </si>
  <si>
    <t>B.P.Hons.(Artificial Intelligence)</t>
  </si>
  <si>
    <t>Data and Information Technologies Research Project Part 1</t>
  </si>
  <si>
    <t>Data and Information Technologies Research Project Part 2</t>
  </si>
  <si>
    <t>Deep Learning</t>
  </si>
  <si>
    <t>CITS5200</t>
  </si>
  <si>
    <t>M.Phil.Thesis (Computer Science)</t>
  </si>
  <si>
    <t>CITS5201</t>
  </si>
  <si>
    <t>CITS5204</t>
  </si>
  <si>
    <t>M.Phil.Thesis (Computer Engineering)</t>
  </si>
  <si>
    <t>CITS5205</t>
  </si>
  <si>
    <t>M.Phil.Thesis (CSSE - Computing Engineering)</t>
  </si>
  <si>
    <t>Information Technology Capstone Project</t>
  </si>
  <si>
    <t>CITS5501</t>
  </si>
  <si>
    <t>Cloud Computing</t>
  </si>
  <si>
    <t>CITS5504</t>
  </si>
  <si>
    <t>CITS5505</t>
  </si>
  <si>
    <t>The Internet of Things</t>
  </si>
  <si>
    <t>CITS5507</t>
  </si>
  <si>
    <t>Machine Learning</t>
  </si>
  <si>
    <t>Software Engineering Design Project 1</t>
  </si>
  <si>
    <t>Software Engineering Design Project 2</t>
  </si>
  <si>
    <t>Data Science Capstone Project</t>
  </si>
  <si>
    <t>CITS5960</t>
  </si>
  <si>
    <t>M.Res.Thesis (Computer Science and Software Engineering)</t>
  </si>
  <si>
    <t>CITS5961</t>
  </si>
  <si>
    <t>CITS5961 M.Res.Thesis (Computer Science and Software Engineering)</t>
  </si>
  <si>
    <t>CITS7707</t>
  </si>
  <si>
    <t>Honours Software Engineering</t>
  </si>
  <si>
    <t>CITS8920</t>
  </si>
  <si>
    <t>Ph.D.Thesis (Computer Science)</t>
  </si>
  <si>
    <t>CITS8921</t>
  </si>
  <si>
    <t>CITS8923</t>
  </si>
  <si>
    <t>Ph.D.Thesis (Computer Engineering)</t>
  </si>
  <si>
    <t>CITS8924</t>
  </si>
  <si>
    <t>Ph.D.Thesis (CSSE - Computing Engineering)</t>
  </si>
  <si>
    <t>CITS9200</t>
  </si>
  <si>
    <t>Ph.D.Thesis(Computer Science)</t>
  </si>
  <si>
    <t>CITS9201</t>
  </si>
  <si>
    <t>CITS9202</t>
  </si>
  <si>
    <t>CITS9203</t>
  </si>
  <si>
    <t>CITS9210</t>
  </si>
  <si>
    <t>M.Sc.Thesis(Computer Science)</t>
  </si>
  <si>
    <t>CITS9211</t>
  </si>
  <si>
    <t>CITS9212</t>
  </si>
  <si>
    <t>M.Sc.Thesis (CSSE - Computing Engineering)</t>
  </si>
  <si>
    <t>CITS9213</t>
  </si>
  <si>
    <t>CITS9230</t>
  </si>
  <si>
    <t>M.Sc.Th.(Info Tech)</t>
  </si>
  <si>
    <t>CITS9231</t>
  </si>
  <si>
    <t>Multivariable Calculus</t>
  </si>
  <si>
    <t>Mathematical Theory and Methods</t>
  </si>
  <si>
    <t>Mathematical Analysis</t>
  </si>
  <si>
    <t>Algebra</t>
  </si>
  <si>
    <t>MATH1700</t>
  </si>
  <si>
    <t>Forensic Mathematics</t>
  </si>
  <si>
    <t>Mathematics Fundamentals</t>
  </si>
  <si>
    <t>Mathematics Foundations: Methods</t>
  </si>
  <si>
    <t>Mathematics Foundations: Specialist</t>
  </si>
  <si>
    <t>Differential Equations</t>
  </si>
  <si>
    <t>Metric Spaces &amp; Measure Theory</t>
  </si>
  <si>
    <t>Complex and Fourier Analysis</t>
  </si>
  <si>
    <t>Numerical Methods</t>
  </si>
  <si>
    <t>Advanced Mathematical Methods</t>
  </si>
  <si>
    <t>Network Science</t>
  </si>
  <si>
    <t>Nonlinear Dynamics and Chaos</t>
  </si>
  <si>
    <t>Scientific and Industrial Modelling</t>
  </si>
  <si>
    <t>Advanced Mathematics Applications</t>
  </si>
  <si>
    <t>Complex Systems</t>
  </si>
  <si>
    <t>Algebraic Structures and Symmetry</t>
  </si>
  <si>
    <t>Topology and Manifolds</t>
  </si>
  <si>
    <t>Geometry</t>
  </si>
  <si>
    <t>Functional Analysis</t>
  </si>
  <si>
    <t>Mathematics and Statistics Research Project Part 1</t>
  </si>
  <si>
    <t>Mathematics and Statistics Research Project Part 2</t>
  </si>
  <si>
    <t>MATH4011</t>
  </si>
  <si>
    <t>Special Topics in Mathematics 1</t>
  </si>
  <si>
    <t>MATH4012</t>
  </si>
  <si>
    <t>Special Topics in Mathematics 2</t>
  </si>
  <si>
    <t>Dynamical Systems</t>
  </si>
  <si>
    <t>Theoretical Mechanics</t>
  </si>
  <si>
    <t>Mathematical Optimisation</t>
  </si>
  <si>
    <t>Continuous Geometry and Analysis</t>
  </si>
  <si>
    <t>Advanced Topics in Pure Mathematics</t>
  </si>
  <si>
    <t>MATH4700</t>
  </si>
  <si>
    <t>B.Sc.Hons.(Mathematics and Statistics)</t>
  </si>
  <si>
    <t>MATH4800</t>
  </si>
  <si>
    <t>B.Phil.Hons.(Mathematics and Statistics)</t>
  </si>
  <si>
    <t>MATH5920</t>
  </si>
  <si>
    <t>M.Phil.Thesis (Mathematics)</t>
  </si>
  <si>
    <t>MATH5921</t>
  </si>
  <si>
    <t>MATH5960</t>
  </si>
  <si>
    <t>M.Res.Thesis (Mathematics and Statistics)</t>
  </si>
  <si>
    <t>MATH5961</t>
  </si>
  <si>
    <t>MATH7706</t>
  </si>
  <si>
    <t>B.C.M.Hons.(Maths)</t>
  </si>
  <si>
    <t>MATH8920</t>
  </si>
  <si>
    <t>Ph.D.Thesis (Mathematics)</t>
  </si>
  <si>
    <t>MATH8921</t>
  </si>
  <si>
    <t>MATH9820</t>
  </si>
  <si>
    <t>M.Sc.Ed.Thesis(Mathematics)</t>
  </si>
  <si>
    <t>MATH9821</t>
  </si>
  <si>
    <t>M.A.Thesis(Mathematics)</t>
  </si>
  <si>
    <t>MATH9822</t>
  </si>
  <si>
    <t>MATH9823</t>
  </si>
  <si>
    <t>MATH9825</t>
  </si>
  <si>
    <t>M.Sc.Thesis(Mathematics)</t>
  </si>
  <si>
    <t>MATH9826</t>
  </si>
  <si>
    <t>MATH9920</t>
  </si>
  <si>
    <t>Ph.D. Thesis (Mathematics)</t>
  </si>
  <si>
    <t>MATH9921</t>
  </si>
  <si>
    <t>Physics for Scientists and Engineers</t>
  </si>
  <si>
    <t>Modern Physics</t>
  </si>
  <si>
    <t>Applied Physics A</t>
  </si>
  <si>
    <t>Physics Bridging Unit</t>
  </si>
  <si>
    <t>Classical and Frontier Physics</t>
  </si>
  <si>
    <t>Modern and Frontier Physics</t>
  </si>
  <si>
    <t>Quantum Physics and Electromagnetism</t>
  </si>
  <si>
    <t>Many Particle Systems</t>
  </si>
  <si>
    <t>Physics for Electrical Engineers</t>
  </si>
  <si>
    <t>PHYS2004</t>
  </si>
  <si>
    <t>Quantum and Relativity</t>
  </si>
  <si>
    <t>Stellar Astrophysics and Frontier Astronomy</t>
  </si>
  <si>
    <t>Quantum Mechanics</t>
  </si>
  <si>
    <t>Electrodynamics and Relativity</t>
  </si>
  <si>
    <t>Astrophysics and Space Science</t>
  </si>
  <si>
    <t>Quantum Computation</t>
  </si>
  <si>
    <t>Atomic and Nuclear Physics</t>
  </si>
  <si>
    <t>Mathematical Physics</t>
  </si>
  <si>
    <t>Topics in Contemporary Physics</t>
  </si>
  <si>
    <t>PHYS3044</t>
  </si>
  <si>
    <t>Overseas Research Placement</t>
  </si>
  <si>
    <t>PHYS3046</t>
  </si>
  <si>
    <t>Research Placement</t>
  </si>
  <si>
    <t>Electrodynamics, Special and General Relativity</t>
  </si>
  <si>
    <t>PHYS4001</t>
  </si>
  <si>
    <t>Dissertation in Physics Part 1</t>
  </si>
  <si>
    <t>Dissertation in Physics Part 2</t>
  </si>
  <si>
    <t>Dissertation in Physics Part 3</t>
  </si>
  <si>
    <t>Dissertation in Physics Part 4</t>
  </si>
  <si>
    <t>Symmetry Principles in Physics</t>
  </si>
  <si>
    <t>Frontiers in Experimental Physics</t>
  </si>
  <si>
    <t>Quantum Information and Computing</t>
  </si>
  <si>
    <t>Advanced Quantum Computing</t>
  </si>
  <si>
    <t>PHYS4410</t>
  </si>
  <si>
    <t>Quantum Field Theory</t>
  </si>
  <si>
    <t>Special Topics in Physics I</t>
  </si>
  <si>
    <t>Cosmological Physics</t>
  </si>
  <si>
    <t>PHYS4419</t>
  </si>
  <si>
    <t>Galaxies and Galactic Dynamics</t>
  </si>
  <si>
    <t>Gravitational Wave and High Energy Astronomy</t>
  </si>
  <si>
    <t>PHYS4800</t>
  </si>
  <si>
    <t>B.Phil.Hons.(Physics)</t>
  </si>
  <si>
    <t>PHYS5003</t>
  </si>
  <si>
    <t>Scientific Communication for Physicists</t>
  </si>
  <si>
    <t>Differential Geometry and General Relativity</t>
  </si>
  <si>
    <t>PHYS5012</t>
  </si>
  <si>
    <t>Master's Dissertation - Theoretical Physics Part 2</t>
  </si>
  <si>
    <t>Research Proposal in Theoretical Physics</t>
  </si>
  <si>
    <t>Dissertation in Theoretical Physics</t>
  </si>
  <si>
    <t>Quantum Measurement and Technology</t>
  </si>
  <si>
    <t>Research Proposal in Experimental Physics</t>
  </si>
  <si>
    <t>Dissertation in Experimental Physics</t>
  </si>
  <si>
    <t>Research Proposal in Computational Physics</t>
  </si>
  <si>
    <t>Dissertation in Computational Physics</t>
  </si>
  <si>
    <t>Research proposal in Quantum Technology and Computation</t>
  </si>
  <si>
    <t>PHYS5046</t>
  </si>
  <si>
    <t>Dissertation in Quantum Technology and Computing</t>
  </si>
  <si>
    <t>Physics Research Project Part 1</t>
  </si>
  <si>
    <t>Physics Research Project Part 2</t>
  </si>
  <si>
    <t>Physics Research Project Part 3</t>
  </si>
  <si>
    <t>Physics Research Project Part 4</t>
  </si>
  <si>
    <t>Medical Imaging Physics</t>
  </si>
  <si>
    <t>Radiation Biology and Protection</t>
  </si>
  <si>
    <t>Radiotherapy Physics</t>
  </si>
  <si>
    <t>Radiation Physics and Dosimetry</t>
  </si>
  <si>
    <t>Medical Physics Dissertation Part 1</t>
  </si>
  <si>
    <t>Medical Physics Dissertation Part 2</t>
  </si>
  <si>
    <t>Medical Physics Dissertation Part 3</t>
  </si>
  <si>
    <t>Medical Physics Dissertation Part 4</t>
  </si>
  <si>
    <t>Research Proposal in Medical Physics</t>
  </si>
  <si>
    <t>Dissertation in Medical Physics</t>
  </si>
  <si>
    <t>Special Topics in Physics II</t>
  </si>
  <si>
    <t>PHYS5512</t>
  </si>
  <si>
    <t>Physics Reading Unit</t>
  </si>
  <si>
    <t>Computational Statistics for Physics</t>
  </si>
  <si>
    <t>PHYS5514</t>
  </si>
  <si>
    <t>Radio Astronomy and the Interstellar Medium</t>
  </si>
  <si>
    <t>PHYS5515</t>
  </si>
  <si>
    <t>Special Topics in Quantum Theory and Technology</t>
  </si>
  <si>
    <t>Research Proposal in Astronomy and Astrophysics</t>
  </si>
  <si>
    <t>Dissertation in Astronomy and Astrophysics</t>
  </si>
  <si>
    <t>PHYS5920</t>
  </si>
  <si>
    <t>M.Phil.Thesis (Physics)</t>
  </si>
  <si>
    <t>PHYS5921</t>
  </si>
  <si>
    <t>PHYS5922</t>
  </si>
  <si>
    <t>M.Phil. Thesis (Astronomy and Astrophysics)</t>
  </si>
  <si>
    <t>PHYS8920</t>
  </si>
  <si>
    <t>Ph.D.Thesis (Physics)</t>
  </si>
  <si>
    <t>PHYS8921</t>
  </si>
  <si>
    <t>PHYS8922</t>
  </si>
  <si>
    <t>Ph.D. Thesis (Astronomy and Astrophysics)</t>
  </si>
  <si>
    <t>PHYS9821</t>
  </si>
  <si>
    <t>M.Phil. Thesis (Physics)</t>
  </si>
  <si>
    <t>PHYS9822</t>
  </si>
  <si>
    <t>M.Phil.(Research) Physics</t>
  </si>
  <si>
    <t>PHYS9825</t>
  </si>
  <si>
    <t>M.Sc.Thesis(Physics)</t>
  </si>
  <si>
    <t>PHYS9826</t>
  </si>
  <si>
    <t>PHYS9920</t>
  </si>
  <si>
    <t>Ph.D. Thesis (Physics)</t>
  </si>
  <si>
    <t>PHYS9921</t>
  </si>
  <si>
    <t>PHYSM121</t>
  </si>
  <si>
    <t>ATAR Physics for Teachers: Year-11 Syllabus</t>
  </si>
  <si>
    <t>PHYSM122</t>
  </si>
  <si>
    <t>ATAR Physics for Teachers: Year-12 Syllabus</t>
  </si>
  <si>
    <t>PHYSM411</t>
  </si>
  <si>
    <t>Einsteinian Science for School Teachers 1: Atoms, Light, Space and Climate</t>
  </si>
  <si>
    <t>PHYSM412</t>
  </si>
  <si>
    <t>Einsteinian Science for School Teachers II: Gravity, Energy and Quantum Mechanics</t>
  </si>
  <si>
    <t>PHYSM413</t>
  </si>
  <si>
    <t>Einsteinian Science for School Teachers III: From Climate to Cosmology</t>
  </si>
  <si>
    <t>PHYSM414</t>
  </si>
  <si>
    <t>Einsteinian Science for School Teachers IV: Modern Science in the Real World</t>
  </si>
  <si>
    <t>PHYSN410</t>
  </si>
  <si>
    <t>Integrated Einsteinian Science for School Teachers</t>
  </si>
  <si>
    <t>Our Universe</t>
  </si>
  <si>
    <t>Our Place in Space</t>
  </si>
  <si>
    <t>Computational Methods for Physics</t>
  </si>
  <si>
    <t>Statistics for Science</t>
  </si>
  <si>
    <t>Economics and Business Statistics</t>
  </si>
  <si>
    <t>Fundamentals of Probability with Applications</t>
  </si>
  <si>
    <t>Probabilistic Methods and their Applications</t>
  </si>
  <si>
    <t>Analysis of Experiments</t>
  </si>
  <si>
    <t>Analysis of Observations</t>
  </si>
  <si>
    <t>Random Processes and their Applications</t>
  </si>
  <si>
    <t>Statistical Science</t>
  </si>
  <si>
    <t>Spatial Statistics and Modelling</t>
  </si>
  <si>
    <t>Statistical Learning</t>
  </si>
  <si>
    <t>Advanced Data Analysis</t>
  </si>
  <si>
    <t>Introduction to Bayesian Computing and Statistics</t>
  </si>
  <si>
    <t>Applied Statistics and Data Visualisation</t>
  </si>
  <si>
    <t>Probability and Stochastic Processes</t>
  </si>
  <si>
    <t>Statistical Modelling and Inference</t>
  </si>
  <si>
    <t>Computationally Intensive Methods in Statistics</t>
  </si>
  <si>
    <t>Applied Predictive Modelling</t>
  </si>
  <si>
    <t>Multilevel and Mixed-Effects Modelling</t>
  </si>
  <si>
    <t>Bayesian Computing and Statistics</t>
  </si>
  <si>
    <t>Statistical Data Science</t>
  </si>
  <si>
    <t>Y</t>
  </si>
  <si>
    <t>Category</t>
  </si>
  <si>
    <t>ASSSIGNED ROLE</t>
  </si>
  <si>
    <t>Notes</t>
  </si>
  <si>
    <t>Name</t>
  </si>
  <si>
    <t>Role Pillars</t>
  </si>
  <si>
    <r>
      <t xml:space="preserve">Assigned Role Data Filter </t>
    </r>
    <r>
      <rPr>
        <i/>
        <sz val="11"/>
        <color theme="1"/>
        <rFont val="Calibri"/>
        <family val="2"/>
        <scheme val="minor"/>
      </rPr>
      <t>(drop-down list)</t>
    </r>
  </si>
  <si>
    <t>Other assigned roles/service to the school</t>
  </si>
  <si>
    <t>Note this has been updated since faculty and should around 70 point</t>
  </si>
  <si>
    <t>Mark Reynolds</t>
  </si>
  <si>
    <t>690</t>
  </si>
  <si>
    <t>Rachel</t>
  </si>
  <si>
    <t>Assigned teaching roles/service within the school</t>
  </si>
  <si>
    <t>CWK Research Project Coord/Hons CSSE</t>
  </si>
  <si>
    <t>0</t>
  </si>
  <si>
    <t>Moved Workload to UC for CITS project units</t>
  </si>
  <si>
    <t>Assigned research roles/service within the school</t>
  </si>
  <si>
    <t>135</t>
  </si>
  <si>
    <t>Ajmal Mian also Scholarships +100 to be added s Physics ?</t>
  </si>
  <si>
    <t>Ajmal Mian</t>
  </si>
  <si>
    <t>Du Huynh Phsyics 200 should this be increased ?</t>
  </si>
  <si>
    <t>Du Huynh</t>
  </si>
  <si>
    <t>Amitava Datta 70 for 2025 and 140 for 2026</t>
  </si>
  <si>
    <t xml:space="preserve">Amitava Datta </t>
  </si>
  <si>
    <t>70</t>
  </si>
  <si>
    <t xml:space="preserve">Rachel </t>
  </si>
  <si>
    <t xml:space="preserve">Atif </t>
  </si>
  <si>
    <t>Amitava</t>
  </si>
  <si>
    <t>Bruce Lu</t>
  </si>
  <si>
    <t xml:space="preserve">Debora Correa S1 </t>
  </si>
  <si>
    <t>35</t>
  </si>
  <si>
    <t xml:space="preserve">Jin Hong S1, Arran Stewart S2 70 shared between 2 </t>
  </si>
  <si>
    <t>259</t>
  </si>
  <si>
    <t>Rachel happens once every 5 years</t>
  </si>
  <si>
    <t>600</t>
  </si>
  <si>
    <t>Vince</t>
  </si>
  <si>
    <t>90</t>
  </si>
  <si>
    <t>Darren</t>
  </si>
  <si>
    <t>Ju Li</t>
  </si>
  <si>
    <t>Matthew Young</t>
  </si>
  <si>
    <t>173</t>
  </si>
  <si>
    <t>David Gozzard</t>
  </si>
  <si>
    <t>200</t>
  </si>
  <si>
    <t>Mikhail</t>
  </si>
  <si>
    <t>104</t>
  </si>
  <si>
    <t>Chunnong</t>
  </si>
  <si>
    <t>80</t>
  </si>
  <si>
    <t>60</t>
  </si>
  <si>
    <t>Michael Wise and Mehwish</t>
  </si>
  <si>
    <t>Des Hill</t>
  </si>
  <si>
    <t>38</t>
  </si>
  <si>
    <t>Pejman</t>
  </si>
  <si>
    <t>Ju li &amp; Darren each</t>
  </si>
  <si>
    <t>20</t>
  </si>
  <si>
    <t>Michael Giudici</t>
  </si>
  <si>
    <t>John Bamberg</t>
  </si>
  <si>
    <t>86.25</t>
  </si>
  <si>
    <t>Ed Cripps for half the year vacant for 1st half. 172 hrs allocated for this role for full year</t>
  </si>
  <si>
    <t>28.75</t>
  </si>
  <si>
    <t>Small, Matthews, Cripps,Dipierro, Khan, Polpo</t>
  </si>
  <si>
    <t>Miccal Matthews</t>
  </si>
  <si>
    <t>Polpo</t>
  </si>
  <si>
    <t>Walker</t>
  </si>
  <si>
    <t>Berwin</t>
  </si>
  <si>
    <t>50</t>
  </si>
  <si>
    <t>Astfalck did 50 hrs for this year, full year hours allocation for role is 172.5</t>
  </si>
  <si>
    <t>Outreach Committee M&amp;S</t>
  </si>
  <si>
    <t>Algar</t>
  </si>
  <si>
    <t>Outreach Committee - Open Day M&amp;S</t>
  </si>
  <si>
    <t>Gopal</t>
  </si>
  <si>
    <t xml:space="preserve"> Did not meet this year </t>
  </si>
  <si>
    <t>Alice DeVilliers</t>
  </si>
  <si>
    <t>Stemler</t>
  </si>
  <si>
    <t>David Coward</t>
  </si>
  <si>
    <t>Tim French</t>
  </si>
  <si>
    <t>Chunnong, Ju Li, Mike Tobar, Maxim each</t>
  </si>
  <si>
    <t>Naeha</t>
  </si>
  <si>
    <t>86</t>
  </si>
  <si>
    <t>Mike Tobar</t>
  </si>
  <si>
    <t>Jingbo</t>
  </si>
  <si>
    <t>Note in CS new staff receive 200 hours start up reduction to the teaching workload , for 2025 this was for Bruce, Daochang, Garrison, Maira, Marcell, Saeed and Siwen</t>
  </si>
  <si>
    <t>GENG4411</t>
  </si>
  <si>
    <t>GENG4412</t>
  </si>
  <si>
    <t>GENG5511</t>
  </si>
  <si>
    <t>GENG5512</t>
  </si>
  <si>
    <t>Dummy, 01</t>
  </si>
  <si>
    <t>Dummy, 02</t>
  </si>
  <si>
    <t>Dummy, 03</t>
  </si>
  <si>
    <t>Dummy, 04</t>
  </si>
  <si>
    <t>Dummy, 05</t>
  </si>
  <si>
    <t>Dummy, 06</t>
  </si>
  <si>
    <t>Dummy, 07</t>
  </si>
  <si>
    <t>Dummy, 08</t>
  </si>
  <si>
    <t>Dummy, 09</t>
  </si>
  <si>
    <t>Dummy, 10</t>
  </si>
  <si>
    <t>Dummy, 11</t>
  </si>
  <si>
    <t>Dummy, 12</t>
  </si>
  <si>
    <t>Dummy, 13</t>
  </si>
  <si>
    <t>Dummy, 14</t>
  </si>
  <si>
    <t>Dummy, 15</t>
  </si>
  <si>
    <t>Dummy, 16</t>
  </si>
  <si>
    <t>Dummy, 17</t>
  </si>
  <si>
    <t>Dummy, 18</t>
  </si>
  <si>
    <t>00000001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</si>
  <si>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</si>
  <si>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</si>
  <si>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</si>
  <si>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</si>
  <si>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</si>
  <si>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</si>
  <si>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</si>
  <si>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</si>
  <si>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</si>
  <si>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</si>
  <si>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</si>
  <si>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00000013</t>
  </si>
  <si>
    <t>00000014</t>
  </si>
  <si>
    <t>00000015</t>
  </si>
  <si>
    <t>00000016</t>
  </si>
  <si>
    <t>00000017</t>
  </si>
  <si>
    <t>00000018</t>
  </si>
  <si>
    <t>Dummy, 01, 00000001</t>
  </si>
  <si>
    <t>Dummy, 04, 00000004</t>
  </si>
  <si>
    <t>Dummy, 06, 00000006</t>
  </si>
  <si>
    <t>Dummy, 07, 00000007</t>
  </si>
  <si>
    <t>Dummy, 02, 00000002</t>
  </si>
  <si>
    <t>Dummy, 05, 00000005</t>
  </si>
  <si>
    <t>Dummy, 03, 00000003</t>
  </si>
  <si>
    <t>Dummy, 08, 00000008</t>
  </si>
  <si>
    <t>Dummy, 09, 00000009</t>
  </si>
  <si>
    <t>Dummy, 18, 00000018</t>
  </si>
  <si>
    <t>Dummy, 16, 00000016</t>
  </si>
  <si>
    <t>Dummy, 11, 00000011</t>
  </si>
  <si>
    <t>Dummy, 14, 00000014</t>
  </si>
  <si>
    <t>Dummy, 15, 00000015</t>
  </si>
  <si>
    <t>Dummy, 13, 00000013</t>
  </si>
  <si>
    <t>Dummy, 17, 00000017</t>
  </si>
  <si>
    <t>Dummy, 10, 00000010</t>
  </si>
  <si>
    <t>Dummy, 12, 00000012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</si>
</sst>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##,###,###,###,##0.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rgb="FF000000"/>
      <name val="Helvetica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</borders>
  <cellStyleXfs count="9">
    <xf numFmtId="0" fontId="0" fillId="0" borderId="0"/>
    <xf numFmtId="0" fontId="6" fillId="10" borderId="9" applyNumberFormat="0" applyAlignment="0" applyProtection="0"/>
    <xf numFmtId="9" fontId="8" fillId="0" borderId="0" applyFont="0" applyFill="0" applyBorder="0" applyAlignment="0" applyProtection="0"/>
    <xf numFmtId="0" fontId="9" fillId="11" borderId="9" applyNumberFormat="0" applyAlignment="0" applyProtection="0"/>
    <xf numFmtId="0" fontId="11" fillId="0" borderId="0" applyNumberFormat="0" applyFill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16" fillId="0" borderId="0"/>
  </cellStyleXfs>
  <cellXfs count="206">
    <xf numFmtId="0" fontId="0" fillId="0" borderId="0" xfId="0"/>
    <xf numFmtId="0" fontId="1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2" borderId="2" xfId="0" applyFill="1" applyBorder="1"/>
    <xf numFmtId="0" fontId="0" fillId="3" borderId="2" xfId="0" applyFill="1" applyBorder="1"/>
    <xf numFmtId="0" fontId="1" fillId="4" borderId="0" xfId="0" applyFont="1" applyFill="1" applyAlignment="1">
      <alignment wrapText="1"/>
    </xf>
    <xf numFmtId="0" fontId="3" fillId="3" borderId="3" xfId="0" applyFont="1" applyFill="1" applyBorder="1" applyAlignment="1">
      <alignment wrapText="1"/>
    </xf>
    <xf numFmtId="0" fontId="3" fillId="2" borderId="3" xfId="0" applyFont="1" applyFill="1" applyBorder="1" applyAlignment="1">
      <alignment wrapText="1"/>
    </xf>
    <xf numFmtId="0" fontId="3" fillId="5" borderId="3" xfId="0" applyFont="1" applyFill="1" applyBorder="1" applyAlignment="1">
      <alignment wrapText="1"/>
    </xf>
    <xf numFmtId="0" fontId="0" fillId="5" borderId="2" xfId="0" applyFill="1" applyBorder="1"/>
    <xf numFmtId="0" fontId="3" fillId="6" borderId="3" xfId="0" applyFont="1" applyFill="1" applyBorder="1" applyAlignment="1">
      <alignment wrapText="1"/>
    </xf>
    <xf numFmtId="0" fontId="0" fillId="6" borderId="2" xfId="0" applyFill="1" applyBorder="1"/>
    <xf numFmtId="0" fontId="3" fillId="7" borderId="3" xfId="0" applyFont="1" applyFill="1" applyBorder="1" applyAlignment="1">
      <alignment wrapText="1"/>
    </xf>
    <xf numFmtId="0" fontId="0" fillId="7" borderId="2" xfId="0" applyFill="1" applyBorder="1"/>
    <xf numFmtId="0" fontId="3" fillId="8" borderId="3" xfId="0" applyFont="1" applyFill="1" applyBorder="1" applyAlignment="1">
      <alignment wrapText="1"/>
    </xf>
    <xf numFmtId="0" fontId="0" fillId="8" borderId="2" xfId="0" applyFill="1" applyBorder="1"/>
    <xf numFmtId="0" fontId="3" fillId="6" borderId="5" xfId="0" applyFont="1" applyFill="1" applyBorder="1" applyAlignment="1">
      <alignment wrapText="1"/>
    </xf>
    <xf numFmtId="0" fontId="0" fillId="6" borderId="4" xfId="0" applyFill="1" applyBorder="1"/>
    <xf numFmtId="0" fontId="3" fillId="2" borderId="5" xfId="0" applyFont="1" applyFill="1" applyBorder="1" applyAlignment="1">
      <alignment wrapText="1"/>
    </xf>
    <xf numFmtId="0" fontId="0" fillId="2" borderId="4" xfId="0" applyFill="1" applyBorder="1"/>
    <xf numFmtId="0" fontId="0" fillId="0" borderId="0" xfId="0" applyAlignment="1">
      <alignment wrapText="1"/>
    </xf>
    <xf numFmtId="0" fontId="1" fillId="2" borderId="6" xfId="0" applyFont="1" applyFill="1" applyBorder="1" applyAlignment="1">
      <alignment wrapText="1"/>
    </xf>
    <xf numFmtId="0" fontId="1" fillId="5" borderId="2" xfId="0" applyFont="1" applyFill="1" applyBorder="1" applyAlignment="1">
      <alignment wrapText="1"/>
    </xf>
    <xf numFmtId="0" fontId="1" fillId="7" borderId="2" xfId="0" applyFont="1" applyFill="1" applyBorder="1" applyAlignment="1">
      <alignment wrapText="1"/>
    </xf>
    <xf numFmtId="0" fontId="1" fillId="4" borderId="10" xfId="0" applyFont="1" applyFill="1" applyBorder="1" applyAlignment="1">
      <alignment wrapText="1"/>
    </xf>
    <xf numFmtId="2" fontId="1" fillId="0" borderId="0" xfId="0" applyNumberFormat="1" applyFont="1"/>
    <xf numFmtId="164" fontId="0" fillId="0" borderId="0" xfId="0" applyNumberFormat="1"/>
    <xf numFmtId="164" fontId="0" fillId="0" borderId="0" xfId="0" pivotButton="1" applyNumberFormat="1"/>
    <xf numFmtId="164" fontId="0" fillId="0" borderId="0" xfId="0" applyNumberFormat="1" applyAlignment="1">
      <alignment horizontal="left"/>
    </xf>
    <xf numFmtId="2" fontId="0" fillId="0" borderId="0" xfId="0" applyNumberFormat="1"/>
    <xf numFmtId="0" fontId="0" fillId="0" borderId="11" xfId="0" applyBorder="1"/>
    <xf numFmtId="0" fontId="0" fillId="3" borderId="12" xfId="0" applyFill="1" applyBorder="1"/>
    <xf numFmtId="0" fontId="0" fillId="5" borderId="12" xfId="0" applyFill="1" applyBorder="1"/>
    <xf numFmtId="0" fontId="0" fillId="7" borderId="12" xfId="0" applyFill="1" applyBorder="1"/>
    <xf numFmtId="0" fontId="0" fillId="8" borderId="1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2" borderId="12" xfId="0" applyFill="1" applyBorder="1"/>
    <xf numFmtId="0" fontId="0" fillId="2" borderId="13" xfId="0" applyFill="1" applyBorder="1"/>
    <xf numFmtId="2" fontId="0" fillId="0" borderId="2" xfId="0" applyNumberFormat="1" applyBorder="1"/>
    <xf numFmtId="2" fontId="0" fillId="0" borderId="12" xfId="0" applyNumberFormat="1" applyBorder="1"/>
    <xf numFmtId="2" fontId="1" fillId="0" borderId="0" xfId="0" applyNumberFormat="1" applyFont="1" applyAlignment="1">
      <alignment horizontal="left"/>
    </xf>
    <xf numFmtId="2" fontId="4" fillId="0" borderId="2" xfId="0" applyNumberFormat="1" applyFont="1" applyBorder="1"/>
    <xf numFmtId="2" fontId="4" fillId="2" borderId="2" xfId="0" applyNumberFormat="1" applyFont="1" applyFill="1" applyBorder="1"/>
    <xf numFmtId="2" fontId="4" fillId="3" borderId="2" xfId="0" applyNumberFormat="1" applyFont="1" applyFill="1" applyBorder="1"/>
    <xf numFmtId="2" fontId="0" fillId="2" borderId="2" xfId="0" applyNumberFormat="1" applyFill="1" applyBorder="1"/>
    <xf numFmtId="2" fontId="0" fillId="3" borderId="2" xfId="0" applyNumberFormat="1" applyFill="1" applyBorder="1"/>
    <xf numFmtId="2" fontId="0" fillId="3" borderId="12" xfId="0" applyNumberFormat="1" applyFill="1" applyBorder="1"/>
    <xf numFmtId="2" fontId="0" fillId="0" borderId="0" xfId="0" pivotButton="1" applyNumberFormat="1"/>
    <xf numFmtId="2" fontId="0" fillId="0" borderId="11" xfId="0" applyNumberFormat="1" applyBorder="1"/>
    <xf numFmtId="0" fontId="0" fillId="4" borderId="0" xfId="0" applyFill="1"/>
    <xf numFmtId="0" fontId="0" fillId="0" borderId="10" xfId="0" applyBorder="1"/>
    <xf numFmtId="2" fontId="0" fillId="0" borderId="0" xfId="2" applyNumberFormat="1" applyFont="1"/>
    <xf numFmtId="0" fontId="0" fillId="0" borderId="15" xfId="0" applyBorder="1"/>
    <xf numFmtId="9" fontId="0" fillId="0" borderId="0" xfId="2" applyFont="1"/>
    <xf numFmtId="0" fontId="1" fillId="4" borderId="0" xfId="0" applyFont="1" applyFill="1" applyAlignment="1">
      <alignment horizontal="center" wrapText="1"/>
    </xf>
    <xf numFmtId="0" fontId="3" fillId="0" borderId="17" xfId="0" applyFont="1" applyBorder="1" applyAlignment="1">
      <alignment wrapText="1"/>
    </xf>
    <xf numFmtId="0" fontId="3" fillId="4" borderId="0" xfId="0" applyFont="1" applyFill="1" applyAlignment="1">
      <alignment wrapText="1"/>
    </xf>
    <xf numFmtId="0" fontId="1" fillId="2" borderId="3" xfId="0" applyFont="1" applyFill="1" applyBorder="1"/>
    <xf numFmtId="1" fontId="0" fillId="0" borderId="0" xfId="0" applyNumberFormat="1"/>
    <xf numFmtId="1" fontId="0" fillId="0" borderId="11" xfId="0" applyNumberFormat="1" applyBorder="1"/>
    <xf numFmtId="0" fontId="1" fillId="0" borderId="0" xfId="0" applyFont="1" applyAlignment="1">
      <alignment horizontal="right"/>
    </xf>
    <xf numFmtId="0" fontId="3" fillId="2" borderId="2" xfId="0" applyFont="1" applyFill="1" applyBorder="1" applyAlignment="1">
      <alignment wrapText="1"/>
    </xf>
    <xf numFmtId="2" fontId="1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0" fillId="0" borderId="2" xfId="0" applyBorder="1"/>
    <xf numFmtId="164" fontId="1" fillId="5" borderId="0" xfId="0" applyNumberFormat="1" applyFont="1" applyFill="1" applyAlignment="1">
      <alignment horizontal="left" wrapText="1"/>
    </xf>
    <xf numFmtId="164" fontId="1" fillId="7" borderId="0" xfId="0" applyNumberFormat="1" applyFont="1" applyFill="1" applyAlignment="1">
      <alignment horizontal="left" wrapText="1"/>
    </xf>
    <xf numFmtId="164" fontId="1" fillId="8" borderId="0" xfId="0" applyNumberFormat="1" applyFont="1" applyFill="1" applyAlignment="1">
      <alignment horizontal="left" wrapText="1"/>
    </xf>
    <xf numFmtId="164" fontId="1" fillId="3" borderId="0" xfId="0" applyNumberFormat="1" applyFont="1" applyFill="1" applyAlignment="1">
      <alignment horizontal="left"/>
    </xf>
    <xf numFmtId="0" fontId="3" fillId="2" borderId="21" xfId="0" applyFont="1" applyFill="1" applyBorder="1" applyAlignment="1">
      <alignment wrapText="1"/>
    </xf>
    <xf numFmtId="0" fontId="0" fillId="4" borderId="22" xfId="0" applyFill="1" applyBorder="1"/>
    <xf numFmtId="0" fontId="3" fillId="2" borderId="26" xfId="0" applyFont="1" applyFill="1" applyBorder="1" applyAlignment="1">
      <alignment wrapText="1"/>
    </xf>
    <xf numFmtId="0" fontId="3" fillId="2" borderId="27" xfId="0" applyFont="1" applyFill="1" applyBorder="1" applyAlignment="1">
      <alignment wrapText="1"/>
    </xf>
    <xf numFmtId="0" fontId="1" fillId="4" borderId="28" xfId="0" applyFont="1" applyFill="1" applyBorder="1" applyAlignment="1">
      <alignment wrapText="1"/>
    </xf>
    <xf numFmtId="0" fontId="3" fillId="0" borderId="29" xfId="0" applyFont="1" applyBorder="1" applyAlignment="1">
      <alignment wrapText="1"/>
    </xf>
    <xf numFmtId="0" fontId="3" fillId="0" borderId="30" xfId="0" applyFont="1" applyBorder="1" applyAlignment="1">
      <alignment wrapText="1"/>
    </xf>
    <xf numFmtId="0" fontId="3" fillId="0" borderId="2" xfId="0" applyFont="1" applyBorder="1" applyAlignment="1">
      <alignment wrapText="1"/>
    </xf>
    <xf numFmtId="0" fontId="0" fillId="0" borderId="31" xfId="0" applyBorder="1"/>
    <xf numFmtId="0" fontId="0" fillId="2" borderId="5" xfId="0" applyFill="1" applyBorder="1"/>
    <xf numFmtId="0" fontId="0" fillId="0" borderId="0" xfId="0" applyAlignment="1">
      <alignment horizontal="left"/>
    </xf>
    <xf numFmtId="0" fontId="9" fillId="11" borderId="9" xfId="3"/>
    <xf numFmtId="2" fontId="9" fillId="11" borderId="9" xfId="3" applyNumberFormat="1"/>
    <xf numFmtId="0" fontId="6" fillId="10" borderId="9" xfId="1"/>
    <xf numFmtId="0" fontId="0" fillId="0" borderId="2" xfId="0" applyBorder="1" applyAlignment="1">
      <alignment wrapText="1"/>
    </xf>
    <xf numFmtId="0" fontId="10" fillId="2" borderId="7" xfId="0" applyFont="1" applyFill="1" applyBorder="1" applyAlignment="1">
      <alignment horizontal="right"/>
    </xf>
    <xf numFmtId="0" fontId="10" fillId="4" borderId="2" xfId="0" applyFont="1" applyFill="1" applyBorder="1" applyProtection="1">
      <protection locked="0"/>
    </xf>
    <xf numFmtId="0" fontId="10" fillId="2" borderId="21" xfId="0" applyFont="1" applyFill="1" applyBorder="1" applyAlignment="1">
      <alignment horizontal="right"/>
    </xf>
    <xf numFmtId="2" fontId="0" fillId="0" borderId="2" xfId="0" applyNumberFormat="1" applyBorder="1" applyAlignment="1">
      <alignment horizontal="center" wrapText="1"/>
    </xf>
    <xf numFmtId="2" fontId="0" fillId="9" borderId="2" xfId="0" applyNumberFormat="1" applyFill="1" applyBorder="1"/>
    <xf numFmtId="2" fontId="1" fillId="0" borderId="7" xfId="0" applyNumberFormat="1" applyFont="1" applyBorder="1"/>
    <xf numFmtId="2" fontId="1" fillId="0" borderId="8" xfId="0" applyNumberFormat="1" applyFont="1" applyBorder="1"/>
    <xf numFmtId="2" fontId="1" fillId="0" borderId="6" xfId="0" applyNumberFormat="1" applyFont="1" applyBorder="1"/>
    <xf numFmtId="2" fontId="0" fillId="2" borderId="2" xfId="0" applyNumberFormat="1" applyFill="1" applyBorder="1" applyAlignment="1">
      <alignment horizontal="center"/>
    </xf>
    <xf numFmtId="0" fontId="1" fillId="12" borderId="2" xfId="0" applyFont="1" applyFill="1" applyBorder="1" applyAlignment="1">
      <alignment wrapText="1"/>
    </xf>
    <xf numFmtId="0" fontId="1" fillId="12" borderId="2" xfId="0" applyFont="1" applyFill="1" applyBorder="1" applyAlignment="1">
      <alignment horizontal="center" wrapText="1"/>
    </xf>
    <xf numFmtId="0" fontId="1" fillId="12" borderId="2" xfId="0" applyFont="1" applyFill="1" applyBorder="1"/>
    <xf numFmtId="2" fontId="0" fillId="12" borderId="2" xfId="0" applyNumberFormat="1" applyFill="1" applyBorder="1"/>
    <xf numFmtId="0" fontId="0" fillId="0" borderId="3" xfId="0" applyBorder="1" applyAlignment="1">
      <alignment wrapText="1"/>
    </xf>
    <xf numFmtId="2" fontId="0" fillId="0" borderId="3" xfId="0" applyNumberFormat="1" applyBorder="1"/>
    <xf numFmtId="0" fontId="0" fillId="9" borderId="12" xfId="0" applyFill="1" applyBorder="1" applyAlignment="1">
      <alignment wrapText="1"/>
    </xf>
    <xf numFmtId="2" fontId="0" fillId="9" borderId="12" xfId="0" applyNumberFormat="1" applyFill="1" applyBorder="1"/>
    <xf numFmtId="2" fontId="0" fillId="2" borderId="12" xfId="0" applyNumberFormat="1" applyFill="1" applyBorder="1"/>
    <xf numFmtId="0" fontId="1" fillId="2" borderId="2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1" xfId="0" applyBorder="1" applyProtection="1">
      <protection locked="0"/>
    </xf>
    <xf numFmtId="0" fontId="6" fillId="10" borderId="9" xfId="1" applyAlignment="1" applyProtection="1">
      <alignment wrapText="1"/>
      <protection locked="0"/>
    </xf>
    <xf numFmtId="0" fontId="6" fillId="10" borderId="9" xfId="1" applyAlignment="1" applyProtection="1">
      <alignment horizontal="right" wrapText="1"/>
      <protection locked="0"/>
    </xf>
    <xf numFmtId="0" fontId="0" fillId="0" borderId="1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10" xfId="0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12" xfId="0" applyFill="1" applyBorder="1" applyProtection="1">
      <protection locked="0"/>
    </xf>
    <xf numFmtId="0" fontId="6" fillId="10" borderId="19" xfId="1" applyBorder="1" applyProtection="1">
      <protection locked="0"/>
    </xf>
    <xf numFmtId="0" fontId="0" fillId="0" borderId="0" xfId="0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0" fontId="6" fillId="10" borderId="9" xfId="1" applyProtection="1">
      <protection locked="0"/>
    </xf>
    <xf numFmtId="2" fontId="11" fillId="0" borderId="8" xfId="4" applyNumberFormat="1" applyBorder="1" applyAlignment="1"/>
    <xf numFmtId="0" fontId="8" fillId="13" borderId="0" xfId="5"/>
    <xf numFmtId="0" fontId="8" fillId="15" borderId="0" xfId="7"/>
    <xf numFmtId="2" fontId="11" fillId="0" borderId="0" xfId="4" applyNumberFormat="1" applyBorder="1" applyAlignment="1"/>
    <xf numFmtId="0" fontId="12" fillId="0" borderId="33" xfId="0" applyFont="1" applyBorder="1" applyAlignment="1">
      <alignment horizontal="left" wrapText="1"/>
    </xf>
    <xf numFmtId="165" fontId="12" fillId="0" borderId="33" xfId="0" applyNumberFormat="1" applyFont="1" applyBorder="1" applyAlignment="1">
      <alignment horizontal="right" wrapText="1"/>
    </xf>
    <xf numFmtId="0" fontId="12" fillId="0" borderId="33" xfId="0" applyFont="1" applyBorder="1" applyAlignment="1" applyProtection="1">
      <alignment horizontal="left" wrapText="1"/>
      <protection locked="0"/>
    </xf>
    <xf numFmtId="0" fontId="0" fillId="0" borderId="2" xfId="0" applyBorder="1" applyProtection="1">
      <protection locked="0"/>
    </xf>
    <xf numFmtId="0" fontId="0" fillId="16" borderId="2" xfId="0" applyFill="1" applyBorder="1" applyProtection="1">
      <protection locked="0"/>
    </xf>
    <xf numFmtId="0" fontId="0" fillId="2" borderId="35" xfId="0" applyFill="1" applyBorder="1" applyAlignment="1">
      <alignment horizontal="left" vertical="center"/>
    </xf>
    <xf numFmtId="0" fontId="0" fillId="0" borderId="0" xfId="0" applyAlignment="1" applyProtection="1">
      <alignment horizontal="left"/>
      <protection locked="0"/>
    </xf>
    <xf numFmtId="0" fontId="0" fillId="2" borderId="35" xfId="0" applyFill="1" applyBorder="1" applyAlignment="1" applyProtection="1">
      <alignment horizontal="left" vertical="center"/>
      <protection locked="0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3" fillId="0" borderId="0" xfId="0" applyFont="1" applyAlignment="1" applyProtection="1">
      <alignment wrapText="1"/>
      <protection locked="0"/>
    </xf>
    <xf numFmtId="0" fontId="14" fillId="0" borderId="0" xfId="0" applyFont="1" applyAlignment="1" applyProtection="1">
      <alignment wrapText="1"/>
      <protection locked="0"/>
    </xf>
    <xf numFmtId="0" fontId="13" fillId="17" borderId="0" xfId="0" applyFont="1" applyFill="1" applyAlignment="1">
      <alignment wrapText="1"/>
    </xf>
    <xf numFmtId="164" fontId="0" fillId="0" borderId="0" xfId="0" applyNumberFormat="1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49" fontId="12" fillId="0" borderId="33" xfId="0" applyNumberFormat="1" applyFont="1" applyBorder="1" applyAlignment="1">
      <alignment horizontal="left" wrapText="1"/>
    </xf>
    <xf numFmtId="49" fontId="13" fillId="0" borderId="0" xfId="0" applyNumberFormat="1" applyFont="1" applyAlignment="1" applyProtection="1">
      <alignment wrapText="1"/>
      <protection locked="0"/>
    </xf>
    <xf numFmtId="164" fontId="13" fillId="0" borderId="0" xfId="0" applyNumberFormat="1" applyFont="1" applyProtection="1">
      <protection locked="0"/>
    </xf>
    <xf numFmtId="0" fontId="15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1" fillId="0" borderId="2" xfId="0" applyFont="1" applyBorder="1" applyAlignment="1">
      <alignment horizontal="center" wrapText="1"/>
    </xf>
    <xf numFmtId="0" fontId="3" fillId="0" borderId="10" xfId="0" applyFont="1" applyBorder="1" applyAlignment="1">
      <alignment wrapText="1"/>
    </xf>
    <xf numFmtId="165" fontId="12" fillId="0" borderId="33" xfId="0" applyNumberFormat="1" applyFont="1" applyBorder="1" applyAlignment="1" applyProtection="1">
      <alignment horizontal="right" wrapText="1"/>
      <protection locked="0"/>
    </xf>
    <xf numFmtId="0" fontId="0" fillId="0" borderId="4" xfId="0" applyBorder="1"/>
    <xf numFmtId="49" fontId="12" fillId="0" borderId="34" xfId="0" applyNumberFormat="1" applyFont="1" applyBorder="1" applyAlignment="1" applyProtection="1">
      <alignment horizontal="left" wrapText="1"/>
      <protection locked="0"/>
    </xf>
    <xf numFmtId="0" fontId="0" fillId="17" borderId="0" xfId="0" applyFill="1" applyProtection="1">
      <protection locked="0"/>
    </xf>
    <xf numFmtId="0" fontId="0" fillId="17" borderId="0" xfId="0" applyFill="1"/>
    <xf numFmtId="0" fontId="0" fillId="16" borderId="20" xfId="0" applyFill="1" applyBorder="1" applyProtection="1">
      <protection locked="0"/>
    </xf>
    <xf numFmtId="0" fontId="0" fillId="17" borderId="17" xfId="0" applyFill="1" applyBorder="1" applyProtection="1">
      <protection locked="0"/>
    </xf>
    <xf numFmtId="0" fontId="0" fillId="17" borderId="10" xfId="0" applyFill="1" applyBorder="1" applyProtection="1">
      <protection locked="0"/>
    </xf>
    <xf numFmtId="0" fontId="0" fillId="17" borderId="2" xfId="0" applyFill="1" applyBorder="1"/>
    <xf numFmtId="0" fontId="0" fillId="17" borderId="4" xfId="0" applyFill="1" applyBorder="1"/>
    <xf numFmtId="0" fontId="0" fillId="17" borderId="1" xfId="0" applyFill="1" applyBorder="1" applyProtection="1">
      <protection locked="0"/>
    </xf>
    <xf numFmtId="0" fontId="0" fillId="17" borderId="10" xfId="0" applyFill="1" applyBorder="1"/>
    <xf numFmtId="0" fontId="0" fillId="0" borderId="0" xfId="0" pivotButton="1"/>
    <xf numFmtId="0" fontId="0" fillId="17" borderId="0" xfId="0" applyFill="1" applyAlignment="1">
      <alignment horizontal="left"/>
    </xf>
    <xf numFmtId="0" fontId="0" fillId="17" borderId="35" xfId="0" applyFill="1" applyBorder="1" applyAlignment="1">
      <alignment horizontal="left" vertical="center"/>
    </xf>
    <xf numFmtId="0" fontId="0" fillId="17" borderId="0" xfId="0" applyFill="1" applyAlignment="1" applyProtection="1">
      <alignment wrapText="1"/>
      <protection locked="0"/>
    </xf>
    <xf numFmtId="0" fontId="1" fillId="0" borderId="36" xfId="0" applyFont="1" applyBorder="1"/>
    <xf numFmtId="0" fontId="10" fillId="4" borderId="7" xfId="0" applyFont="1" applyFill="1" applyBorder="1" applyAlignment="1" applyProtection="1">
      <alignment horizontal="left"/>
      <protection locked="0"/>
    </xf>
    <xf numFmtId="0" fontId="10" fillId="4" borderId="8" xfId="0" applyFont="1" applyFill="1" applyBorder="1" applyAlignment="1" applyProtection="1">
      <alignment horizontal="left"/>
      <protection locked="0"/>
    </xf>
    <xf numFmtId="0" fontId="10" fillId="4" borderId="6" xfId="0" applyFont="1" applyFill="1" applyBorder="1" applyAlignment="1" applyProtection="1">
      <alignment horizontal="left"/>
      <protection locked="0"/>
    </xf>
    <xf numFmtId="0" fontId="1" fillId="12" borderId="21" xfId="0" applyFont="1" applyFill="1" applyBorder="1" applyAlignment="1">
      <alignment horizontal="left"/>
    </xf>
    <xf numFmtId="0" fontId="1" fillId="12" borderId="30" xfId="0" applyFont="1" applyFill="1" applyBorder="1" applyAlignment="1">
      <alignment horizontal="left"/>
    </xf>
    <xf numFmtId="164" fontId="1" fillId="5" borderId="0" xfId="0" applyNumberFormat="1" applyFont="1" applyFill="1" applyAlignment="1">
      <alignment horizontal="left" wrapText="1"/>
    </xf>
    <xf numFmtId="164" fontId="1" fillId="7" borderId="0" xfId="0" applyNumberFormat="1" applyFont="1" applyFill="1" applyAlignment="1">
      <alignment horizontal="left" wrapText="1"/>
    </xf>
    <xf numFmtId="164" fontId="1" fillId="8" borderId="0" xfId="0" applyNumberFormat="1" applyFont="1" applyFill="1" applyAlignment="1">
      <alignment horizontal="left" wrapText="1"/>
    </xf>
    <xf numFmtId="164" fontId="1" fillId="6" borderId="0" xfId="0" applyNumberFormat="1" applyFont="1" applyFill="1" applyAlignment="1">
      <alignment horizontal="left" wrapText="1"/>
    </xf>
    <xf numFmtId="164" fontId="1" fillId="3" borderId="0" xfId="0" applyNumberFormat="1" applyFont="1" applyFill="1" applyAlignment="1">
      <alignment horizontal="left"/>
    </xf>
    <xf numFmtId="2" fontId="1" fillId="3" borderId="0" xfId="0" applyNumberFormat="1" applyFont="1" applyFill="1" applyAlignment="1">
      <alignment horizontal="left"/>
    </xf>
    <xf numFmtId="0" fontId="8" fillId="14" borderId="0" xfId="6" applyAlignment="1">
      <alignment horizontal="left"/>
    </xf>
    <xf numFmtId="0" fontId="1" fillId="7" borderId="2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8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 wrapText="1"/>
    </xf>
    <xf numFmtId="0" fontId="0" fillId="7" borderId="2" xfId="0" applyFill="1" applyBorder="1" applyAlignment="1">
      <alignment horizontal="center" wrapText="1"/>
    </xf>
    <xf numFmtId="0" fontId="1" fillId="3" borderId="2" xfId="0" applyFont="1" applyFill="1" applyBorder="1" applyAlignment="1">
      <alignment horizontal="center" wrapText="1"/>
    </xf>
    <xf numFmtId="0" fontId="1" fillId="5" borderId="6" xfId="0" applyFont="1" applyFill="1" applyBorder="1" applyAlignment="1">
      <alignment horizontal="center" wrapText="1"/>
    </xf>
    <xf numFmtId="0" fontId="1" fillId="5" borderId="2" xfId="0" applyFont="1" applyFill="1" applyBorder="1" applyAlignment="1">
      <alignment horizontal="center" wrapText="1"/>
    </xf>
    <xf numFmtId="0" fontId="0" fillId="5" borderId="2" xfId="0" applyFill="1" applyBorder="1" applyAlignment="1">
      <alignment horizontal="center" wrapText="1"/>
    </xf>
    <xf numFmtId="0" fontId="0" fillId="5" borderId="4" xfId="0" applyFill="1" applyBorder="1" applyAlignment="1">
      <alignment horizontal="center" wrapText="1"/>
    </xf>
    <xf numFmtId="0" fontId="1" fillId="6" borderId="6" xfId="0" applyFont="1" applyFill="1" applyBorder="1" applyAlignment="1">
      <alignment horizontal="center" wrapText="1"/>
    </xf>
    <xf numFmtId="0" fontId="1" fillId="6" borderId="4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 wrapText="1"/>
    </xf>
    <xf numFmtId="0" fontId="1" fillId="6" borderId="4" xfId="0" applyFont="1" applyFill="1" applyBorder="1" applyAlignment="1">
      <alignment horizontal="center" wrapText="1"/>
    </xf>
    <xf numFmtId="0" fontId="1" fillId="8" borderId="2" xfId="0" applyFont="1" applyFill="1" applyBorder="1" applyAlignment="1">
      <alignment horizontal="center" wrapText="1"/>
    </xf>
    <xf numFmtId="0" fontId="1" fillId="8" borderId="16" xfId="0" applyFont="1" applyFill="1" applyBorder="1" applyAlignment="1">
      <alignment horizontal="center" wrapText="1"/>
    </xf>
    <xf numFmtId="0" fontId="1" fillId="8" borderId="2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 wrapText="1"/>
    </xf>
    <xf numFmtId="0" fontId="1" fillId="7" borderId="8" xfId="0" applyFont="1" applyFill="1" applyBorder="1" applyAlignment="1">
      <alignment horizontal="center" wrapText="1"/>
    </xf>
    <xf numFmtId="0" fontId="1" fillId="7" borderId="6" xfId="0" applyFont="1" applyFill="1" applyBorder="1" applyAlignment="1">
      <alignment horizontal="center" wrapText="1"/>
    </xf>
    <xf numFmtId="0" fontId="1" fillId="8" borderId="20" xfId="0" applyFont="1" applyFill="1" applyBorder="1" applyAlignment="1">
      <alignment horizontal="center" wrapText="1"/>
    </xf>
    <xf numFmtId="0" fontId="1" fillId="8" borderId="20" xfId="0" applyFont="1" applyFill="1" applyBorder="1" applyAlignment="1">
      <alignment horizontal="center"/>
    </xf>
    <xf numFmtId="0" fontId="3" fillId="0" borderId="23" xfId="0" applyFont="1" applyBorder="1" applyAlignment="1">
      <alignment horizontal="center" wrapText="1"/>
    </xf>
    <xf numFmtId="0" fontId="3" fillId="0" borderId="24" xfId="0" applyFont="1" applyBorder="1" applyAlignment="1">
      <alignment horizontal="center" wrapText="1"/>
    </xf>
    <xf numFmtId="0" fontId="3" fillId="0" borderId="25" xfId="0" applyFont="1" applyBorder="1" applyAlignment="1">
      <alignment horizontal="center" wrapText="1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0" xfId="0" applyNumberFormat="1"/>
  </cellXfs>
  <cellStyles count="9">
    <cellStyle name="40% - Accent1" xfId="5" builtinId="31"/>
    <cellStyle name="40% - Accent3" xfId="6" builtinId="39"/>
    <cellStyle name="40% - Accent6" xfId="7" builtinId="51"/>
    <cellStyle name="Calculation" xfId="3" builtinId="22"/>
    <cellStyle name="Explanatory Text" xfId="4" builtinId="53"/>
    <cellStyle name="Input" xfId="1" builtinId="20"/>
    <cellStyle name="Normal" xfId="0" builtinId="0"/>
    <cellStyle name="Normal 2" xfId="8" xr:uid="{BA26A022-5195-4487-B2A5-B567C08C35AF}"/>
    <cellStyle name="Percent" xfId="2" builtinId="5"/>
  </cellStyles>
  <dxfs count="109">
    <dxf>
      <font>
        <color theme="5" tint="-0.499984740745262"/>
      </font>
      <fill>
        <patternFill>
          <bgColor rgb="FFFDF1E9"/>
        </patternFill>
      </fill>
    </dxf>
    <dxf>
      <font>
        <color rgb="FF7030A0"/>
      </font>
      <fill>
        <patternFill>
          <bgColor rgb="FFEFE5F7"/>
        </patternFill>
      </fill>
    </dxf>
    <dxf>
      <font>
        <color theme="9" tint="-0.499984740745262"/>
      </font>
      <fill>
        <patternFill>
          <bgColor rgb="FFEFF6EA"/>
        </patternFill>
      </fill>
    </dxf>
    <dxf>
      <font>
        <color theme="8" tint="-0.499984740745262"/>
      </font>
      <fill>
        <patternFill>
          <bgColor rgb="FFE7F0F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79998168889431442"/>
        </patternFill>
      </fill>
    </dxf>
    <dxf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protection locked="0" hidden="0"/>
    </dxf>
    <dxf>
      <numFmt numFmtId="30" formatCode="@"/>
      <alignment horizontal="general" vertical="bottom" textRotation="0" wrapText="1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</font>
    </dxf>
    <dxf>
      <numFmt numFmtId="2" formatCode="0.00"/>
    </dxf>
    <dxf>
      <protection locked="0" hidden="0"/>
    </dxf>
    <dxf>
      <protection locked="0" hidden="0"/>
    </dxf>
    <dxf>
      <protection locked="0" hidden="0"/>
    </dxf>
    <dxf>
      <font>
        <sz val="10"/>
        <color rgb="FF000000"/>
        <name val="Helvetica"/>
        <scheme val="none"/>
      </font>
      <alignment horizontal="left" vertical="bottom" textRotation="0" wrapText="1" indent="0" justifyLastLine="0" shrinkToFit="0" readingOrder="0"/>
      <border diagonalUp="0" diagonalDown="0">
        <left style="thin">
          <color rgb="FF666666"/>
        </left>
        <right style="thin">
          <color rgb="FF666666"/>
        </right>
        <top style="thin">
          <color rgb="FF666666"/>
        </top>
        <bottom style="thin">
          <color rgb="FF666666"/>
        </bottom>
        <vertical/>
        <horizontal/>
      </border>
      <protection locked="0" hidden="0"/>
    </dxf>
    <dxf>
      <font>
        <sz val="10"/>
        <color rgb="FF000000"/>
        <name val="Helvetica"/>
        <scheme val="none"/>
      </font>
      <numFmt numFmtId="165" formatCode="###,###,###,###,##0.00"/>
      <alignment horizontal="right" vertical="bottom" textRotation="0" wrapText="1" indent="0" justifyLastLine="0" shrinkToFit="0" readingOrder="0"/>
      <border diagonalUp="0" diagonalDown="0">
        <left style="thin">
          <color rgb="FF666666"/>
        </left>
        <right style="thin">
          <color rgb="FF666666"/>
        </right>
        <top style="thin">
          <color rgb="FF666666"/>
        </top>
        <bottom style="thin">
          <color rgb="FF666666"/>
        </bottom>
        <vertical/>
        <horizontal/>
      </border>
      <protection locked="0" hidden="0"/>
    </dxf>
    <dxf>
      <font>
        <sz val="10"/>
        <color rgb="FF000000"/>
        <name val="Helvetica"/>
        <scheme val="none"/>
      </font>
      <alignment horizontal="left" vertical="bottom" textRotation="0" wrapText="1" indent="0" justifyLastLine="0" shrinkToFit="0" readingOrder="0"/>
      <border diagonalUp="0" diagonalDown="0">
        <left style="thin">
          <color rgb="FF666666"/>
        </left>
        <right style="thin">
          <color rgb="FF666666"/>
        </right>
        <top style="thin">
          <color rgb="FF666666"/>
        </top>
        <bottom style="thin">
          <color rgb="FF666666"/>
        </bottom>
        <vertical/>
        <horizontal/>
      </border>
      <protection locked="0" hidden="0"/>
    </dxf>
    <dxf>
      <font>
        <sz val="10"/>
        <color rgb="FF000000"/>
        <name val="Helvetica"/>
        <scheme val="none"/>
      </font>
      <alignment horizontal="left" vertical="bottom" textRotation="0" wrapText="1" indent="0" justifyLastLine="0" shrinkToFit="0" readingOrder="0"/>
      <border diagonalUp="0" diagonalDown="0">
        <left style="thin">
          <color rgb="FF666666"/>
        </left>
        <right style="thin">
          <color rgb="FF666666"/>
        </right>
        <top style="thin">
          <color rgb="FF666666"/>
        </top>
        <bottom style="thin">
          <color rgb="FF666666"/>
        </bottom>
        <vertical/>
        <horizontal/>
      </border>
      <protection locked="0" hidden="0"/>
    </dxf>
    <dxf>
      <numFmt numFmtId="0" formatCode="General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14" formatCode="0.00%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pivotCacheDefinition" Target="pivotCache/pivotCacheDefinition5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microsoft.com/office/2017/10/relationships/person" Target="persons/perso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ams/WRK-SAgEExecutive-Workload/Shared%20Documents/Workload/2021/2021%20Allocated%20Workload%20Summa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port - Staff"/>
      <sheetName val="Report - Staff Member"/>
      <sheetName val="Report - Allocations"/>
      <sheetName val="Report - Units"/>
      <sheetName val="Report - Enrolment"/>
      <sheetName val="Data Entry - Teaching"/>
      <sheetName val="Data Entry - Assigned Role"/>
      <sheetName val="Source Information - Staff"/>
      <sheetName val="Source Information - Units"/>
      <sheetName val="Source Information - Roles"/>
      <sheetName val="2021 Allocated Workload Summary"/>
    </sheetNames>
    <sheetDataSet>
      <sheetData sheetId="0"/>
      <sheetData sheetId="1" refreshError="1"/>
      <sheetData sheetId="2"/>
      <sheetData sheetId="3" refreshError="1"/>
      <sheetData sheetId="4" refreshError="1"/>
      <sheetData sheetId="5"/>
      <sheetData sheetId="6"/>
      <sheetData sheetId="7" refreshError="1"/>
      <sheetData sheetId="8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Daniela Roberts" id="{AA253050-4652-4C2F-A412-4BA76536D864}" userId="S::00109087@uwa.edu.au::7e3cc310-6dd4-4eaf-bc99-d0331892e963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a Roberts" refreshedDate="46093.33501412037" createdVersion="8" refreshedVersion="8" minRefreshableVersion="3" recordCount="18" xr:uid="{A4A8C9D8-F856-4236-A730-F6E0AF7BDD5F}">
  <cacheSource type="worksheet">
    <worksheetSource ref="A3:G21" sheet="Data Entry - HDR"/>
  </cacheSource>
  <cacheFields count="7">
    <cacheField name="Staff Member" numFmtId="0">
      <sharedItems containsMixedTypes="1" containsNumber="1" containsInteger="1" minValue="0" maxValue="0" count="19">
        <s v="Dummy, 01, 00000001"/>
        <s v="Dummy, 02, 00000002"/>
        <s v="Dummy, 03, 00000003"/>
        <s v="Dummy, 04, 00000004"/>
        <s v="Dummy, 05, 00000005"/>
        <s v="Dummy, 06, 00000006"/>
        <s v="Dummy, 07, 00000007"/>
        <s v="Dummy, 08, 00000008"/>
        <s v="Dummy, 09, 00000009"/>
        <s v="Dummy, 10, 00000010"/>
        <s v="Dummy, 11, 00000011"/>
        <s v="Dummy, 12, 00000012"/>
        <s v="Dummy, 13, 00000013"/>
        <s v="Dummy, 14, 00000014"/>
        <s v="Dummy, 15, 00000015"/>
        <s v="Dummy, 16, 00000016"/>
        <s v="Dummy, 17, 00000017"/>
        <s v="Dummy, 18, 00000018"/>
        <n v="0" u="1"/>
      </sharedItems>
    </cacheField>
    <cacheField name="No. of students supervised" numFmtId="0">
      <sharedItems containsString="0" containsBlank="1" containsNumber="1" containsInteger="1" minValue="1" maxValue="10"/>
    </cacheField>
    <cacheField name="Total proportion of students supervised" numFmtId="0">
      <sharedItems containsString="0" containsBlank="1" containsNumber="1" minValue="0.2" maxValue="4.95"/>
    </cacheField>
    <cacheField name="No. of students supervised2" numFmtId="0">
      <sharedItems containsString="0" containsBlank="1" containsNumber="1" containsInteger="1" minValue="0" maxValue="2"/>
    </cacheField>
    <cacheField name="Total proportion of students supervised2" numFmtId="0">
      <sharedItems containsString="0" containsBlank="1" containsNumber="1" minValue="0" maxValue="0.5"/>
    </cacheField>
    <cacheField name="Total supervision hours" numFmtId="0">
      <sharedItems containsSemiMixedTypes="0" containsString="0" containsNumber="1" minValue="0" maxValue="444.1875"/>
    </cacheField>
    <cacheField name="WL Points" numFmtId="0">
      <sharedItems containsSemiMixedTypes="0" containsString="0" containsNumber="1" minValue="0" maxValue="25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a Roberts" refreshedDate="46093.335063310187" createdVersion="7" refreshedVersion="8" minRefreshableVersion="3" recordCount="66" xr:uid="{FE3F31DA-1FCC-4560-B8C5-45B311B3A8A1}">
  <cacheSource type="worksheet">
    <worksheetSource ref="A2:J1048576" sheet="Data Entry - Teaching"/>
  </cacheSource>
  <cacheFields count="12">
    <cacheField name="Unit Code" numFmtId="0">
      <sharedItems containsBlank="1" count="173">
        <s v="CITS2200"/>
        <s v="CITS2002"/>
        <s v="CITS2401"/>
        <s v="CITS3002"/>
        <s v="MATH1011"/>
        <s v="MATH1012"/>
        <s v="MATH1721"/>
        <s v="PHYS1200"/>
        <s v="PHYS3001"/>
        <s v="PHYS3002"/>
        <s v="PHYS4010"/>
        <s v="PHYS4020"/>
        <s v="PHYS4021"/>
        <s v="PHYS4022"/>
        <s v="PHYS4415"/>
        <s v="CITS4010"/>
        <s v="CITS4011"/>
        <s v="CITS5014"/>
        <s v="MATH4001"/>
        <m/>
        <s v="CITS4009" u="1"/>
        <s v="SWU2200" u="1"/>
        <s v="CITS3007" u="1"/>
        <s v="CITS3301; CITS4401" u="1"/>
        <s v="CITS3006" u="1"/>
        <s v="CITS5501; CITS3501" u="1"/>
        <s v="CITS5506" u="1"/>
        <s v="CITS5551" u="1"/>
        <s v="CITS5552" u="1"/>
        <s v="CITS5206" u="1"/>
        <s v="CITS4404" u="1"/>
        <s v="CITS5507; CITS3402" u="1"/>
        <s v="CITS1401" u="1"/>
        <s v="CITS3011" u="1"/>
        <s v="CITS3009" u="1"/>
        <s v="CITS2402" u="1"/>
        <s v="CITS5508" u="1"/>
        <s v="CITS5017" u="1"/>
        <s v="CITS1003" u="1"/>
        <s v="CITS2005" u="1"/>
        <s v="CITS4407" u="1"/>
        <s v="CITS3001" u="1"/>
        <s v="CITS1501" u="1"/>
        <s v="CITS1402" u="1"/>
        <s v="CITS3401; CITS5504" u="1"/>
        <s v="CITS5503" u="1"/>
        <s v="CITS5553" u="1"/>
        <s v="CITS2006" u="1"/>
        <s v="CITS3403; CITS5505" u="1"/>
        <s v="CITS4403" u="1"/>
        <s v="SCIE1501" u="1"/>
        <s v="CITS2211" u="1"/>
        <s v="CITS3200" u="1"/>
        <s v="CITS3003" u="1"/>
        <s v="CITS4419" u="1"/>
        <s v="CITS4402" u="1"/>
        <s v="CITS4012" u="1"/>
        <s v="CITS4010; CITS4011; CITS5014; CITS5015" u="1"/>
        <s v="CITS3005" u="1"/>
        <s v="MATH1013" u="1"/>
        <s v="MATH1014" u="1"/>
        <s v="MATH1017" u="1"/>
        <s v="MATH1720" u="1"/>
        <s v="MATH1722" u="1"/>
        <s v="MATH2021" u="1"/>
        <s v="MATH2030" u="1"/>
        <s v="MATH2032" u="1"/>
        <s v="MATH2064" u="1"/>
        <s v="MATH2501" u="1"/>
        <s v="MATH3002" u="1"/>
        <s v="MATH3021" u="1"/>
        <s v="MATH3022" u="1"/>
        <s v="MATH3023" u="1"/>
        <s v="MATH3024" u="1"/>
        <s v="MATH3031" u="1"/>
        <s v="MATH3032" u="1"/>
        <s v="MATH3033" u="1"/>
        <s v="MATH3034" u="1"/>
        <s v="MATH4021" u="1"/>
        <s v="MATH4022" u="1"/>
        <s v="MATH4023" u="1"/>
        <s v="MATH4031" u="1"/>
        <s v="MATH4032" u="1"/>
        <s v="MATH4033" u="1"/>
        <s v="STAT1400" u="1"/>
        <s v="STAT1520" u="1"/>
        <s v="STAT1521" u="1"/>
        <s v="STAT2062" u="1"/>
        <s v="STAT2063" u="1"/>
        <s v="STAT2401" u="1"/>
        <s v="STAT2402" u="1"/>
        <s v="STAT3061" u="1"/>
        <s v="STAT3062" u="1"/>
        <s v="STAT3063" u="1"/>
        <s v="STAT3064" u="1"/>
        <s v="STAT5061" u="1"/>
        <s v="STAT3401" u="1"/>
        <s v="STAT4065" u="1"/>
        <s v="STAT3405" u="1"/>
        <s v="STAT4066" u="1"/>
        <s v="STAT3406" u="1"/>
        <s v="STAT4064" u="1"/>
        <s v="STAT4061" u="1"/>
        <s v="STAT4062" u="1"/>
        <s v="STAT4063" u="1"/>
        <s v="Non-PMC Unit" u="1"/>
        <s v="ANHB5451" u="1"/>
        <s v="PHYS1001" u="1"/>
        <s v="PHYS1002" u="1"/>
        <s v="PHYS1021" u="1"/>
        <s v="PHYS1030" u="1"/>
        <s v="PHYS1100" u="1"/>
        <s v="PHYS2001" u="1"/>
        <s v="PHYS2002" u="1"/>
        <s v="PHYS2003" u="1"/>
        <s v="PHYS2100" u="1"/>
        <s v="PHYS3003" u="1"/>
        <s v="PHYS3005" u="1"/>
        <s v="PHYS3006" u="1"/>
        <s v="PHYS3011" u="1"/>
        <s v="PHYS3012" u="1"/>
        <s v="PHYS3100" u="1"/>
        <s v="PHYS4417" u="1"/>
        <s v="PHYS4418" u="1"/>
        <s v="PHYS4420" u="1"/>
        <s v="PHYS5010" u="1"/>
        <s v="PHYS5020" u="1"/>
        <s v="PHYS5401" u="1"/>
        <s v="PHYS5402" u="1"/>
        <s v="PHYS5403" u="1"/>
        <s v="PHYS5404" u="1"/>
        <s v="PHYS5510" u="1"/>
        <s v="PHYS5513" u="1"/>
        <s v="SCIE1121" u="1"/>
        <s v="SCIE2212" u="1"/>
        <s v="SHPC4001" u="1"/>
        <s v="CITS5015" u="1"/>
        <s v="GENG4411" u="1"/>
        <s v="GENG4412" u="1"/>
        <s v="GENG5511" u="1"/>
        <s v="GENG5512" u="1"/>
        <s v="MATH4002" u="1"/>
        <s v="PHYS4002" u="1"/>
        <s v="PHYS4003" u="1"/>
        <s v="PHYS4004" u="1"/>
        <s v="PHYS5015" u="1"/>
        <s v="PHYS5016" u="1"/>
        <s v="PHYS5025" u="1"/>
        <s v="PHYS5026" u="1"/>
        <s v="PHYS5301" u="1"/>
        <s v="PHYS5035" u="1"/>
        <s v="PHYS5036" u="1"/>
        <s v="PHYS5045" u="1"/>
        <s v="PHYS5302" u="1"/>
        <s v="PHYS5303" u="1"/>
        <s v="PHYS5304" u="1"/>
        <s v="PHYS5306" u="1"/>
        <s v="PHYS5406" u="1"/>
        <s v="PHYS5407" u="1"/>
        <s v="PHYS5408" u="1"/>
        <s v="PHYS5409" u="1"/>
        <s v="PHYS5435" u="1"/>
        <s v="PHYS5436" u="1"/>
        <s v="PHYS5562" u="1"/>
        <s v="PHYS5563" u="1"/>
        <s v="PHYS2004" u="1"/>
        <s v="Non PMC Unit - SCIE1501" u="1"/>
        <s v="Non PMC Unit -GENG4411" u="1"/>
        <s v="Non PMC Unit -GENG4412" u="1"/>
        <s v="Non PMC Unit - GENG5511" u="1"/>
        <s v="Non PMC Unit - GENG5512" u="1"/>
        <s v="PHYS5031" u="1"/>
        <s v="CITSXXXX" u="1"/>
      </sharedItems>
    </cacheField>
    <cacheField name="Staff Type" numFmtId="0">
      <sharedItems containsBlank="1" count="3">
        <s v="Academic staff"/>
        <m/>
        <s v="Unpaid external/emeritus/off-load contributers" u="1"/>
      </sharedItems>
    </cacheField>
    <cacheField name="Staff Member" numFmtId="0">
      <sharedItems containsBlank="1" count="194">
        <s v="Dummy, 02, 00000002"/>
        <s v="Dummy, 01, 00000001"/>
        <s v="Dummy, 04, 00000004"/>
        <s v="Dummy, 07, 00000007"/>
        <s v="Dummy, 05, 00000005"/>
        <s v="Dummy, 03, 00000003"/>
        <s v="Dummy, 06, 00000006"/>
        <s v="Dummy, 08, 00000008"/>
        <s v="Dummy, 09, 00000009"/>
        <s v="Dummy, 18, 00000018"/>
        <s v="Dummy, 16, 00000016"/>
        <s v="Dummy, 11, 00000011"/>
        <s v="Dummy, 14, 00000014"/>
        <s v="Dummy, 15, 00000015"/>
        <s v="Dummy, 13, 00000013"/>
        <s v="Dummy, 17, 00000017"/>
        <m/>
        <s v="Datta, Amitava, 00033579" u="1"/>
        <s v="Patwary, Anwarul, 00104243" u="1"/>
        <s v="Stewart, Arran, 00083922" u="1"/>
        <s v="Mansoor, Atif, 00095831" u="1"/>
        <s v="Lu, Bruce, 00116334" u="1"/>
        <s v="MacNish, Cara, 00029985" u="1"/>
        <s v="Myers, Casey, 00115432" u="1"/>
        <s v="Liu, Daochang, 00116331" u="1"/>
        <s v="Correa, Debora, 00093852" u="1"/>
        <s v="Huynh, Du, 00050673" u="1"/>
        <s v="Gao, Garrison, 00116332" u="1"/>
        <s v="Gozzard, Andrew, 00086081" u="1"/>
        <s v="Kendrick, Jake, 00106068" u="1"/>
        <s v="Li, Jichunyang, 00108973" u="1"/>
        <s v="Hong, Jin, 00098638" u="1"/>
        <s v="Alvi, Maira, 00105302" u="1"/>
        <s v="Szikszai, Marcell, 00102256" u="1"/>
        <s v="Kaur, Jyoti, 00082876" u="1"/>
        <s v="Daggitt, Matthew, 00112652" u="1"/>
        <s v="Ward, Max, 00095867" u="1"/>
        <s v="Nasim, Mehwish, 00108733" u="1"/>
        <s v="Wise, Michael, 00055874" u="1"/>
        <s v="Hassan, Mubashar, 00080148" u="1"/>
        <s v="Sharif, Naeha, 00096393" u="1"/>
        <s v="Cardell-Oliver, Rachel, 00047104" u="1"/>
        <s v="Anwar, Saeed, 00116589" u="1"/>
        <s v="Luo, Siwen, 00109839" u="1"/>
        <s v="French, Tim, 00043278" u="1"/>
        <s v="Bi, Tingting, 00647244" u="1"/>
        <s v="Liu, Wei, 00051693" u="1"/>
        <s v="Zhang, Zhi, 00111024" u="1"/>
        <s v="Devillers, Alice, 00068380" u="1"/>
        <s v="Walker, David, 00044329" u="1"/>
        <s v="Stoyanov, Luchezar, 00024560" u="1"/>
        <s v="Royle, Gordon, 00013890" u="1"/>
        <s v="Hill, Des, 00015731" u="1"/>
        <s v="Stemler, Thomas, 00062643" u="1"/>
        <s v="Giacomin, Giovanni, 00107741" u="1"/>
        <s v="Bamberg, John, 00044445" u="1"/>
        <s v="Algar, Shannon, 00089554" u="1"/>
        <s v="Thompson, Jack, 00106759" u="1"/>
        <s v="Giudici, Michael, 00033321" u="1"/>
        <s v="Matthews, Miccal, 00084858" u="1"/>
        <s v="Gujarati, Kajal, 00097693" u="1"/>
        <s v="Pfefferle, David, 00097312" u="1"/>
        <s v="Noakes, Lyle, 00006405" u="1"/>
        <s v="Small, Michael, 00027830" u="1"/>
        <s v="Academic NA, Unpaid external/emeritus/off-load contributers" u="1"/>
        <s v="Polpo, Adriano, 00101533" u="1"/>
        <s v="Turlach, Berwin, 00043886" u="1"/>
        <s v="Cripps, Edward, 00070022" u="1"/>
        <s v="Lau, John, 00066872" u="1"/>
        <s v="Astfalck, Lachlan, 00077063" u="1"/>
        <s v="Bertolacci, Michael, 00093047" u="1"/>
        <s v="Khan, Nazim, 00013289" u="1"/>
        <s v="Nair, Gopalan, 00066864" u="1"/>
        <s v="Dang, KD, 00115374" u="1"/>
        <s v="Rowshan Farzad, Pejman, 00083205" u="1"/>
        <s v="Jay, Gareth, 00083925" u="1"/>
        <s v="Ju, Li, 00029374" u="1"/>
        <s v="Grasso, Darren, 00029277" u="1"/>
        <s v="James, Ralph, 00018037" u="1"/>
        <s v="McFerran, John, 00031671" u="1"/>
        <s v="Blair, Carl, 00083857" u="1"/>
        <s v="Young, Matthew, 00032766" u="1"/>
        <s v="Gozzard, David, 00071098" u="1"/>
        <s v="Tobar, Michael, 00040880" u="1"/>
        <s v="Goryachev, Maxim, 00080078" u="1"/>
        <s v="Academic NA, Paid casual staff" u="1"/>
        <s v="Jones, Daniel, 00026304" u="1"/>
        <s v="Academic NA, Professional staff performing academic duties" u="1"/>
        <s v="Wallace, Vince, 00063780" u="1"/>
        <s v="Coward, David, 00044663" u="1"/>
        <s v="Buchbinder, Evgeny, 00081906" u="1"/>
        <s v="Zhao, Chunnong, 00034375" u="1"/>
        <s v="Wang, Jingbo, 00024046" u="1"/>
        <s v="Panther, Fiona, 00104296" u="1"/>
        <s v="Kuzenko, Sergei, 00045694" u="1"/>
        <s v="Unpaid external/emeritus/off-load contributers" u="1"/>
        <s v="Wen, Linqing, 00062892" u="1"/>
        <s v="Kostylev, Mikhail, 00057919" u="1"/>
        <s v="Golding, Nick, 00117236" u="1"/>
        <s v="Milne, George, 00047097" u="1"/>
        <s v="Mian, Ajmal, 00053650" u="1"/>
        <s v="Reynolds, Mark, 00054620" u="1"/>
        <s v="Zhao, Cindy, 00104204" u="1"/>
        <s v="Valdinoci, Enrico, 00093938" u="1"/>
        <s v="Sunderland, Andrew, 00059310" u="1"/>
        <s v="Liu, Jian, 00082765" u="1"/>
        <s v="Bourhill, Jeremy, 00069232" u="1"/>
        <s v="Travaglione, Ben, 00097424" u="1"/>
        <s v="Winterflood, John, 00040759" u="1"/>
        <s v="MATHS" u="1"/>
        <s v="Sharif, Neaha, 00096393" u="1"/>
        <s v="Ward-Graham, Max, 00095867" u="1"/>
        <s v="Cripps, Ed, 00070022" u="1"/>
        <s v="Li, Ju, 00029374" u="1"/>
        <s v="Bukhbinder, Evgeny, 00081906" u="1"/>
        <s v="Bennamoun, Mohammed, 00051632" u="1"/>
        <s v="ICRAR" u="1"/>
        <s v="Liu, Wei , 00051693" u="1"/>
        <s v="Myers, Casey , 00115432" u="1"/>
        <s v="Szikszai, Marcel, 00102256" u="1"/>
        <s v="Blair, Carl , 00083857" u="1"/>
        <s v="Li, Ju , 00029374" u="1"/>
        <s v="Sunderland, Andrew , 00059310" u="1"/>
        <s v="Tobar, Michael , 00040880" u="1"/>
        <s v="Bourhill, Jeremy , 00069232" u="1"/>
        <s v="Travaglione, Ben , 00097424" u="1"/>
        <s v="Wang, Jingbo , 00024046" u="1"/>
        <s v="Coward, David , 00044663" u="1"/>
        <s v="Panther, Fiona , 00104296" u="1"/>
        <s v="Wen, Linqing , 00062892" u="1"/>
        <s v="Gozzard, David , 00071098" u="1"/>
        <s v="Liu, Wei , 00116331" u="1"/>
        <s v="Liu, Wei, 00116331" u="1"/>
        <s v="Algar, Shannon" u="1"/>
        <s v="Anwar, Saeed" u="1"/>
        <s v="Bertolacci, Michael" u="1"/>
        <s v="Cardell-Oliver, Rachel" u="1"/>
        <s v="Daggitt, Matthew" u="1"/>
        <s v="Datta, Amitava" u="1"/>
        <s v="French, Tim" u="1"/>
        <s v="Gao, Garrison" u="1"/>
        <s v="Golding, Nick" u="1"/>
        <s v="Gozzard, Andrew" u="1"/>
        <s v="Hassan, Mubashar" u="1"/>
        <s v="Khan, Nazim" u="1"/>
        <s v="Liu, Daochang" u="1"/>
        <s v="Liu, Wei" u="1"/>
        <s v="Liu, Wei " u="1"/>
        <s v="Luo, Siwen" u="1"/>
        <s v="Mansoor, Atif" u="1"/>
        <s v="Milne, George" u="1"/>
        <s v="Nasim, Mehwish" u="1"/>
        <s v="Patwary, Anwarul" u="1"/>
        <s v="Sharif, Neaha" u="1"/>
        <s v="Small, Michael" u="1"/>
        <s v="Szikszai, Marcel" u="1"/>
        <s v="Ward-Graham, Max" u="1"/>
        <s v="Zhang, Zhi" u="1"/>
        <s v="Astfalck, Lachlan" u="1"/>
        <s v="Bamberg, John" u="1"/>
        <s v="Cripps, Ed" u="1"/>
        <s v="Giudici, Michael" u="1"/>
        <s v="Nair, Gopalan" u="1"/>
        <s v="Pfefferle, David" u="1"/>
        <s v="Turlach, Berwin" u="1"/>
        <s v="Devillers, Alice" u="1"/>
        <s v="Valdinoci, Enrico" u="1"/>
        <s v="Wang, Jingbo" u="1"/>
        <s v="Goryachev, Maxim" u="1"/>
        <s v="Li, Ju " u="1"/>
        <s v="Sunderland, Andrew " u="1"/>
        <s v="Tobar, Michael " u="1"/>
        <s v="Bukhbinder, Evgeny" u="1"/>
        <s v="Kostylev, Mikhail" u="1"/>
        <s v="Kuzenko, Sergei" u="1"/>
        <s v="Zhao, Chunnong" u="1"/>
        <s v="Blair, Carl " u="1"/>
        <s v="Liu, Jian" u="1"/>
        <s v="McFerran, John" u="1"/>
        <s v="Bourhill, Jeremy " u="1"/>
        <s v="Myers, Casey " u="1"/>
        <s v="Hill, Des" u="1"/>
        <s v="Travaglione, Ben " u="1"/>
        <s v="Noakes, Lyle" u="1"/>
        <s v="Wang, Jingbo " u="1"/>
        <s v="Coward, David " u="1"/>
        <s v="Kendrick, Jake" u="1"/>
        <s v="Panther, Fiona " u="1"/>
        <s v="Polpo, Adriano" u="1"/>
        <s v="Rowshan Farzad, Pejman" u="1"/>
        <s v="Wen, Linqing " u="1"/>
        <s v="Winterflood, John" u="1"/>
        <s v="Gozzard, David " u="1"/>
        <s v="Small, Michael, 00027831" u="1"/>
      </sharedItems>
    </cacheField>
    <cacheField name="Enrolment #" numFmtId="0">
      <sharedItems containsBlank="1" containsMixedTypes="1" containsNumber="1" containsInteger="1" minValue="11" maxValue="961"/>
    </cacheField>
    <cacheField name="vlookup - UC" numFmtId="0">
      <sharedItems containsBlank="1"/>
    </cacheField>
    <cacheField name="Unit Code + Staff Member" numFmtId="0">
      <sharedItems containsBlank="1"/>
    </cacheField>
    <cacheField name="Duplicate" numFmtId="0">
      <sharedItems containsString="0" containsBlank="1" containsNumber="1" containsInteger="1" minValue="1" maxValue="31"/>
    </cacheField>
    <cacheField name="vlookup anchor - Teaching" numFmtId="0">
      <sharedItems containsBlank="1"/>
    </cacheField>
    <cacheField name="Total Teaching Workload Scaled Hours" numFmtId="0">
      <sharedItems containsString="0" containsBlank="1" containsNumber="1" minValue="0" maxValue="560"/>
    </cacheField>
    <cacheField name="Total Teaching Workload WL Points" numFmtId="0">
      <sharedItems containsString="0" containsBlank="1" containsNumber="1" minValue="0" maxValue="32.463768115942031"/>
    </cacheField>
    <cacheField name="Hours per student" numFmtId="0" formula="'Total Teaching Workload Scaled Hours'/'Enrolment #'" databaseField="0"/>
    <cacheField name="WL per student" numFmtId="0" formula="'Total Teaching Workload WL Points'/'Enrolment #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a Roberts" refreshedDate="46093.335069560184" createdVersion="8" refreshedVersion="8" minRefreshableVersion="3" recordCount="32" xr:uid="{3AF1CA61-C9A5-414D-AD1A-E744FFEACE6F}">
  <cacheSource type="worksheet">
    <worksheetSource ref="A3:G1048576" sheet="Data Entry - HDR"/>
  </cacheSource>
  <cacheFields count="7">
    <cacheField name="Staff Member" numFmtId="0">
      <sharedItems containsBlank="1" containsMixedTypes="1" containsNumber="1" containsInteger="1" minValue="0" maxValue="0" count="21">
        <s v="Dummy, 01, 00000001"/>
        <s v="Dummy, 02, 00000002"/>
        <s v="Dummy, 03, 00000003"/>
        <s v="Dummy, 04, 00000004"/>
        <s v="Dummy, 05, 00000005"/>
        <s v="Dummy, 06, 00000006"/>
        <s v="Dummy, 07, 00000007"/>
        <s v="Dummy, 08, 00000008"/>
        <s v="Dummy, 09, 00000009"/>
        <s v="Dummy, 10, 00000010"/>
        <s v="Dummy, 11, 00000011"/>
        <s v="Dummy, 12, 00000012"/>
        <s v="Dummy, 13, 00000013"/>
        <s v="Dummy, 14, 00000014"/>
        <s v="Dummy, 15, 00000015"/>
        <s v="Dummy, 16, 00000016"/>
        <s v="Dummy, 17, 00000017"/>
        <s v="Dummy, 18, 00000018"/>
        <s v=", "/>
        <n v="0"/>
        <m/>
      </sharedItems>
    </cacheField>
    <cacheField name="No. of students supervised" numFmtId="0">
      <sharedItems containsString="0" containsBlank="1" containsNumber="1" containsInteger="1" minValue="1" maxValue="10"/>
    </cacheField>
    <cacheField name="Total proportion of students supervised" numFmtId="0">
      <sharedItems containsString="0" containsBlank="1" containsNumber="1" minValue="0.2" maxValue="4.95"/>
    </cacheField>
    <cacheField name="No. of students supervised2" numFmtId="0">
      <sharedItems containsString="0" containsBlank="1" containsNumber="1" containsInteger="1" minValue="0" maxValue="2"/>
    </cacheField>
    <cacheField name="Total proportion of students supervised2" numFmtId="0">
      <sharedItems containsString="0" containsBlank="1" containsNumber="1" minValue="0" maxValue="0.5"/>
    </cacheField>
    <cacheField name="Total supervision hours" numFmtId="0">
      <sharedItems containsString="0" containsBlank="1" containsNumber="1" minValue="0" maxValue="444.1875"/>
    </cacheField>
    <cacheField name="WL Points" numFmtId="0">
      <sharedItems containsString="0" containsBlank="1" containsNumber="1" minValue="0" maxValue="25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a Roberts" refreshedDate="46093.335078124997" createdVersion="7" refreshedVersion="8" minRefreshableVersion="3" recordCount="118" xr:uid="{AA351425-97BF-4B19-B2B0-C85A2096741D}">
  <cacheSource type="worksheet">
    <worksheetSource ref="A2:D1048576" sheet="Data Entry - Assigned Role"/>
  </cacheSource>
  <cacheFields count="4">
    <cacheField name="Staff Member" numFmtId="0">
      <sharedItems containsBlank="1" containsMixedTypes="1" containsNumber="1" containsInteger="1" minValue="0" maxValue="0" count="21">
        <s v="Dummy, 01, 00000001"/>
        <s v="Dummy, 02, 00000002"/>
        <s v="Dummy, 03, 00000003"/>
        <s v="Dummy, 04, 00000004"/>
        <s v="Dummy, 05, 00000005"/>
        <s v="Dummy, 06, 00000006"/>
        <s v="Dummy, 07, 00000007"/>
        <s v="Dummy, 08, 00000008"/>
        <s v="Dummy, 09, 00000009"/>
        <s v="Dummy, 10, 00000010"/>
        <s v="Dummy, 11, 00000011"/>
        <s v="Dummy, 12, 00000012"/>
        <s v="Dummy, 13, 00000013"/>
        <s v="Dummy, 14, 00000014"/>
        <s v="Dummy, 15, 00000015"/>
        <s v="Dummy, 16, 00000016"/>
        <s v="Dummy, 17, 00000017"/>
        <s v="Dummy, 18, 00000018"/>
        <s v=", "/>
        <n v="0"/>
        <m/>
      </sharedItems>
    </cacheField>
    <cacheField name="Staff FTE" numFmtId="0">
      <sharedItems containsBlank="1" containsMixedTypes="1" containsNumber="1" minValue="0" maxValue="1"/>
    </cacheField>
    <cacheField name="Self-Directed Service Points" numFmtId="0">
      <sharedItems containsBlank="1" containsMixedTypes="1" containsNumber="1" minValue="0" maxValue="10" count="27">
        <n v="10"/>
        <n v="9.2000000000000011"/>
        <n v="9.6"/>
        <n v="8"/>
        <n v="0"/>
        <s v=""/>
        <m/>
        <n v="2" u="1"/>
        <n v="5" u="1"/>
        <n v="6" u="1"/>
        <n v="9.9" u="1"/>
        <n v="4" u="1"/>
        <n v="9.5" u="1"/>
        <n v="7.8000000000000007" u="1"/>
        <n v="8.8000000000000007" u="1"/>
        <n v="6.8999999999999995" u="1"/>
        <n v="3.3000000000000003" u="1"/>
        <n v="5.4" u="1"/>
        <n v="2.5" u="1"/>
        <n v="7.1999999999999993" u="1"/>
        <n v="8.2999999999999989" u="1"/>
        <n v="3.2" u="1"/>
        <n v="3" u="1"/>
        <n v="2.2000000000000002" u="1"/>
        <n v="1.6" u="1"/>
        <n v="4.3" u="1"/>
        <n v="7.25" u="1"/>
      </sharedItems>
    </cacheField>
    <cacheField name="Assigned Roles - Total Points" numFmtId="0">
      <sharedItems containsString="0" containsBlank="1" containsNumber="1" minValue="0" maxValue="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a Roberts" refreshedDate="46093.335085069448" missingItemsLimit="0" createdVersion="7" refreshedVersion="8" minRefreshableVersion="3" recordCount="66" xr:uid="{8F2F5EC1-BF8D-4100-8E3C-4501EFD7F9D6}">
  <cacheSource type="worksheet">
    <worksheetSource ref="A2:R1048576" sheet="Data Entry - Teaching"/>
  </cacheSource>
  <cacheFields count="19">
    <cacheField name="Unit Code" numFmtId="0">
      <sharedItems containsBlank="1" count="20">
        <s v="CITS2200"/>
        <s v="CITS2002"/>
        <s v="CITS2401"/>
        <s v="CITS3002"/>
        <s v="MATH1011"/>
        <s v="MATH1012"/>
        <s v="MATH1721"/>
        <s v="PHYS1200"/>
        <s v="PHYS3001"/>
        <s v="PHYS3002"/>
        <s v="PHYS4010"/>
        <s v="PHYS4020"/>
        <s v="PHYS4021"/>
        <s v="PHYS4022"/>
        <s v="PHYS4415"/>
        <s v="CITS4010"/>
        <s v="CITS4011"/>
        <s v="CITS5014"/>
        <s v="MATH4001"/>
        <m/>
      </sharedItems>
    </cacheField>
    <cacheField name="Staff Type" numFmtId="0">
      <sharedItems containsBlank="1"/>
    </cacheField>
    <cacheField name="Staff Member" numFmtId="0">
      <sharedItems containsBlank="1" count="17">
        <s v="Dummy, 02, 00000002"/>
        <s v="Dummy, 01, 00000001"/>
        <s v="Dummy, 04, 00000004"/>
        <s v="Dummy, 07, 00000007"/>
        <s v="Dummy, 05, 00000005"/>
        <s v="Dummy, 03, 00000003"/>
        <s v="Dummy, 06, 00000006"/>
        <s v="Dummy, 08, 00000008"/>
        <s v="Dummy, 09, 00000009"/>
        <s v="Dummy, 18, 00000018"/>
        <s v="Dummy, 16, 00000016"/>
        <s v="Dummy, 11, 00000011"/>
        <s v="Dummy, 14, 00000014"/>
        <s v="Dummy, 15, 00000015"/>
        <s v="Dummy, 13, 00000013"/>
        <s v="Dummy, 17, 00000017"/>
        <m/>
      </sharedItems>
    </cacheField>
    <cacheField name="Enrolment #" numFmtId="0">
      <sharedItems containsBlank="1" containsMixedTypes="1" containsNumber="1" containsInteger="1" minValue="11" maxValue="961"/>
    </cacheField>
    <cacheField name="vlookup - UC" numFmtId="0">
      <sharedItems containsBlank="1"/>
    </cacheField>
    <cacheField name="Unit Code + Staff Member" numFmtId="0">
      <sharedItems containsBlank="1"/>
    </cacheField>
    <cacheField name="Duplicate" numFmtId="0">
      <sharedItems containsString="0" containsBlank="1" containsNumber="1" containsInteger="1" minValue="1" maxValue="31"/>
    </cacheField>
    <cacheField name="vlookup anchor - Teaching" numFmtId="0">
      <sharedItems containsBlank="1"/>
    </cacheField>
    <cacheField name="Total Teaching Workload Scaled Hours" numFmtId="0">
      <sharedItems containsString="0" containsBlank="1" containsNumber="1" minValue="0" maxValue="560"/>
    </cacheField>
    <cacheField name="Total Teaching Workload WL Points" numFmtId="0">
      <sharedItems containsString="0" containsBlank="1" containsNumber="1" minValue="0" maxValue="32.463768115942031"/>
    </cacheField>
    <cacheField name="Total Unit Coordinatation Scaled Hours" numFmtId="0">
      <sharedItems containsString="0" containsBlank="1" containsNumber="1" containsInteger="1" minValue="0" maxValue="0"/>
    </cacheField>
    <cacheField name="Total Unit Coordinatation WL Points" numFmtId="0">
      <sharedItems containsString="0" containsBlank="1" containsNumber="1" containsInteger="1" minValue="0" maxValue="0"/>
    </cacheField>
    <cacheField name="Total Teaching Activity Scaled Hours" numFmtId="0">
      <sharedItems containsString="0" containsBlank="1" containsNumber="1" containsInteger="1" minValue="0" maxValue="0"/>
    </cacheField>
    <cacheField name="Total Teaching Activity WL Points" numFmtId="0">
      <sharedItems containsString="0" containsBlank="1" containsNumber="1" containsInteger="1" minValue="0" maxValue="0"/>
    </cacheField>
    <cacheField name="Total Unit Supervision Activities Scaled Hours" numFmtId="0">
      <sharedItems containsString="0" containsBlank="1" containsNumber="1" minValue="0" maxValue="64.5"/>
    </cacheField>
    <cacheField name="Total Unit Supervision Activities WL Points" numFmtId="0">
      <sharedItems containsString="0" containsBlank="1" containsNumber="1" minValue="0" maxValue="3.7391304347826089"/>
    </cacheField>
    <cacheField name="Total New Unit Development Scaled Hours" numFmtId="0">
      <sharedItems containsString="0" containsBlank="1" containsNumber="1" containsInteger="1" minValue="0" maxValue="0"/>
    </cacheField>
    <cacheField name="Total New Unit Development WL Points" numFmtId="0">
      <sharedItems containsString="0" containsBlank="1" containsNumber="1" containsInteger="1" minValue="0" maxValue="0"/>
    </cacheField>
    <cacheField name="Total Teaching WL" numFmtId="0" formula="'Total Unit Coordinatation WL Points'+'Total Teaching Activity WL Points'+'Total Unit Supervision Activities WL Points'+'Total New Unit Development WL Point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a Roberts" refreshedDate="46093.335092939815" createdVersion="8" refreshedVersion="8" minRefreshableVersion="3" recordCount="118" xr:uid="{04F07BD1-EEE0-4225-9AAA-B2473480D33E}">
  <cacheSource type="worksheet">
    <worksheetSource ref="A2:P1048576" sheet="Data Entry - Assigned Role"/>
  </cacheSource>
  <cacheFields count="16">
    <cacheField name="Staff Member" numFmtId="0">
      <sharedItems containsBlank="1" containsMixedTypes="1" containsNumber="1" containsInteger="1" minValue="0" maxValue="0" count="21">
        <s v="Dummy, 01, 00000001"/>
        <s v="Dummy, 02, 00000002"/>
        <s v="Dummy, 03, 00000003"/>
        <s v="Dummy, 04, 00000004"/>
        <s v="Dummy, 05, 00000005"/>
        <s v="Dummy, 06, 00000006"/>
        <s v="Dummy, 07, 00000007"/>
        <s v="Dummy, 08, 00000008"/>
        <s v="Dummy, 09, 00000009"/>
        <s v="Dummy, 10, 00000010"/>
        <s v="Dummy, 11, 00000011"/>
        <s v="Dummy, 12, 00000012"/>
        <s v="Dummy, 13, 00000013"/>
        <s v="Dummy, 14, 00000014"/>
        <s v="Dummy, 15, 00000015"/>
        <s v="Dummy, 16, 00000016"/>
        <s v="Dummy, 17, 00000017"/>
        <s v="Dummy, 18, 00000018"/>
        <s v=", "/>
        <n v="0"/>
        <m/>
      </sharedItems>
    </cacheField>
    <cacheField name="Staff FTE" numFmtId="0">
      <sharedItems containsBlank="1" containsMixedTypes="1" containsNumber="1" minValue="0" maxValue="1"/>
    </cacheField>
    <cacheField name="Self-Directed Service Points" numFmtId="0">
      <sharedItems containsBlank="1" containsMixedTypes="1" containsNumber="1" minValue="0" maxValue="10"/>
    </cacheField>
    <cacheField name="Assigned Roles - Total Points" numFmtId="0">
      <sharedItems containsString="0" containsBlank="1" containsNumber="1" minValue="0" maxValue="70"/>
    </cacheField>
    <cacheField name="Role1" numFmtId="0">
      <sharedItems containsBlank="1" count="37">
        <s v="Outreach activities chair M&amp;S"/>
        <m/>
        <s v="Graduate Research Coordinator (incl Scholarships) M&amp;S"/>
        <s v="Head of Department CSSE (not including other assigned roles)"/>
        <s v="Program Chair Data Science MDS+DS"/>
        <s v="Chair Safety Committee - PMC"/>
        <s v="TLC member Chair M&amp;S"/>
        <s v="Program Chair  India "/>
        <s v="Chair DEI - PMC"/>
        <s v="TLC member M&amp;S"/>
        <s v="Chair BoE - PMC"/>
        <s v="Head of department M&amp;S"/>
        <s v="ARC Centre - Physics"/>
        <s v="Dept HoD"/>
        <s v="School Academic Misconduct Advisor M&amp;S"/>
        <s v="GRC CSSE (not Scholarships)"/>
        <s v="Program Chair u/g  Physics (=labs)"/>
        <s v="GRC Existing Students Physics"/>
        <s v="Program Chair  International"/>
        <s v="Program Chair Software Eng "/>
        <s v="Dept Research Chair CSSE and Scholarships"/>
        <s v="School Academic Misconduct Advisor CSSE"/>
        <s v="Head of School (not including other assigned roles)"/>
        <s v="Social Media Coordinator Physics"/>
        <s v="Health and Safety and Mental Health First Aid CSSE"/>
        <s v="GRS Committee M&amp;S"/>
        <s v="Program Chair BACS and Cybersecurity"/>
        <s v="Centre for applied statistics M&amp;S"/>
        <s v="Scientific communications teaching M&amp;S"/>
        <s v="Head of Department Physics"/>
        <s v="Program &amp; Specialisation Chairs Quantum Computing"/>
        <s v="GRC scholarships Physics"/>
        <s v="Program Chair CBM Physics"/>
        <s v="Program Chair Minor Physics"/>
        <s v="Head of Discipline/Department (not including other assigned roles)" u="1"/>
        <s v="Chair/Director, School LTC" u="1"/>
        <s v="Chair, external advisory board" u="1"/>
      </sharedItems>
    </cacheField>
    <cacheField name="Points1" numFmtId="0">
      <sharedItems containsString="0" containsBlank="1" containsNumber="1" minValue="0" maxValue="70" count="25">
        <n v="2.89"/>
        <n v="0"/>
        <n v="15.014492753623188"/>
        <n v="40"/>
        <n v="8.1159420289855078"/>
        <n v="10.028985507246377"/>
        <n v="5"/>
        <n v="4.0579710144927539"/>
        <n v="1.6666666666666667"/>
        <n v="5.2173913043478262"/>
        <n v="4.63768115942029"/>
        <n v="11.594202898550725"/>
        <n v="7.8"/>
        <n v="3.4782608695652173"/>
        <n v="70"/>
        <n v="3.0144927536231885"/>
        <n v="1.1594202898550725"/>
        <n v="4.9855072463768115"/>
        <n v="2"/>
        <n v="10"/>
        <n v="6.0289855072463769"/>
        <m/>
        <n v="2.8985507246376812" u="1"/>
        <n v="20" u="1"/>
        <n v="4" u="1"/>
      </sharedItems>
    </cacheField>
    <cacheField name="Role2" numFmtId="0">
      <sharedItems containsBlank="1" count="15">
        <m/>
        <s v="Program Chair  Computer Science"/>
        <s v="TLC member M&amp;S"/>
        <s v="Program Chair MIT "/>
        <s v="Program Chair u/g  Physics (lectures)"/>
        <s v="Program Chair Hons/Masters Physics"/>
        <s v="School Academic Misconduct Advisor Physics"/>
        <s v="Programme chair M&amp;S"/>
        <s v="Deputy programme chair M&amp;S"/>
        <s v="Program &amp; Specialisation Chairs Mediical Physics"/>
        <s v="Program &amp; Specialisation Chairs Experimental Physics"/>
        <s v="Chair Research Committee - PMC"/>
        <s v="ARC Centre - Physics"/>
        <s v="Outreach Coordinator Physics"/>
        <s v="School/institute seminar coordinator" u="1"/>
      </sharedItems>
    </cacheField>
    <cacheField name="Points2" numFmtId="0">
      <sharedItems containsString="0" containsBlank="1" containsNumber="1" minValue="0" maxValue="20" count="13">
        <n v="0"/>
        <n v="4.0579710144927539"/>
        <n v="1.6666666666666667"/>
        <n v="8.1159420289855078"/>
        <n v="15.014492753623188"/>
        <n v="10.028985507246377"/>
        <n v="4.63768115942029"/>
        <n v="20"/>
        <n v="5"/>
        <n v="4.9855072463768115"/>
        <n v="2.2028985507246377"/>
        <m/>
        <n v="2" u="1"/>
      </sharedItems>
    </cacheField>
    <cacheField name="Role3" numFmtId="0">
      <sharedItems containsBlank="1" count="7">
        <m/>
        <s v="ACS Accreditation every 5 years"/>
        <s v="Department Review Coordinator Physics"/>
        <s v="Chem Eng Teaching"/>
        <s v="Acting Deputy Programme chair M&amp;S"/>
        <s v="Prog Chair Med Physics"/>
        <s v="Program &amp; Specialisation Chairs Astro Physics"/>
      </sharedItems>
    </cacheField>
    <cacheField name="Points3" numFmtId="0">
      <sharedItems containsString="0" containsBlank="1" containsNumber="1" minValue="0" maxValue="20" count="7">
        <n v="0"/>
        <n v="15.014492753623188"/>
        <n v="3.0144927536231885"/>
        <n v="20"/>
        <n v="5"/>
        <n v="4.9855072463768115"/>
        <m/>
      </sharedItems>
    </cacheField>
    <cacheField name="Role4" numFmtId="0">
      <sharedItems containsBlank="1" count="5">
        <m/>
        <s v="Curriculum Committee Working Groups Chair Physics"/>
        <s v="Lab Committee Chairs  Physics"/>
        <s v="Chair Ed Committtee PMC"/>
        <s v="Honours coordinator M&amp;S"/>
      </sharedItems>
    </cacheField>
    <cacheField name="Points4" numFmtId="0">
      <sharedItems containsString="0" containsBlank="1" containsNumber="1" minValue="0" maxValue="10.202898550724637" count="5">
        <n v="0"/>
        <n v="1.1594202898550725"/>
        <n v="10.202898550724637"/>
        <n v="6.666666666666667"/>
        <m/>
      </sharedItems>
    </cacheField>
    <cacheField name="Role5" numFmtId="0">
      <sharedItems containsBlank="1" count="2">
        <m/>
        <s v="ARC Centre - Physics"/>
      </sharedItems>
    </cacheField>
    <cacheField name="Points5" numFmtId="0">
      <sharedItems containsString="0" containsBlank="1" containsNumber="1" minValue="0" maxValue="10.028985507246377" count="3">
        <n v="0"/>
        <n v="10.028985507246377"/>
        <m/>
      </sharedItems>
    </cacheField>
    <cacheField name="Role6" numFmtId="0">
      <sharedItems containsNonDate="0" containsString="0" containsBlank="1" count="1">
        <m/>
      </sharedItems>
    </cacheField>
    <cacheField name="Points6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n v="2"/>
    <n v="0.8"/>
    <n v="0"/>
    <n v="0"/>
    <n v="69"/>
    <n v="4"/>
  </r>
  <r>
    <x v="1"/>
    <m/>
    <m/>
    <m/>
    <m/>
    <n v="0"/>
    <n v="0"/>
  </r>
  <r>
    <x v="2"/>
    <n v="1"/>
    <n v="0.2"/>
    <m/>
    <m/>
    <n v="17.25"/>
    <n v="1"/>
  </r>
  <r>
    <x v="3"/>
    <n v="2"/>
    <n v="1"/>
    <m/>
    <m/>
    <n v="86.25"/>
    <n v="5"/>
  </r>
  <r>
    <x v="4"/>
    <n v="10"/>
    <n v="4.95"/>
    <n v="2"/>
    <n v="0.4"/>
    <n v="444.1875"/>
    <n v="25.75"/>
  </r>
  <r>
    <x v="5"/>
    <n v="1"/>
    <n v="0.2"/>
    <m/>
    <m/>
    <n v="17.25"/>
    <n v="1"/>
  </r>
  <r>
    <x v="6"/>
    <n v="3"/>
    <n v="1.05"/>
    <m/>
    <m/>
    <n v="90.5625"/>
    <n v="5.25"/>
  </r>
  <r>
    <x v="7"/>
    <n v="4"/>
    <n v="1.45"/>
    <n v="1"/>
    <n v="0.4"/>
    <n v="142.3125"/>
    <n v="8.25"/>
  </r>
  <r>
    <x v="8"/>
    <n v="1"/>
    <n v="0.5"/>
    <n v="1"/>
    <n v="0.5"/>
    <n v="64.6875"/>
    <n v="3.75"/>
  </r>
  <r>
    <x v="9"/>
    <m/>
    <m/>
    <m/>
    <m/>
    <n v="0"/>
    <n v="0"/>
  </r>
  <r>
    <x v="10"/>
    <m/>
    <m/>
    <m/>
    <m/>
    <n v="0"/>
    <n v="0"/>
  </r>
  <r>
    <x v="11"/>
    <n v="2"/>
    <n v="1"/>
    <m/>
    <m/>
    <n v="86.25"/>
    <n v="5"/>
  </r>
  <r>
    <x v="12"/>
    <n v="4"/>
    <n v="1.5"/>
    <m/>
    <m/>
    <n v="129.375"/>
    <n v="7.5"/>
  </r>
  <r>
    <x v="13"/>
    <n v="1"/>
    <n v="0.5"/>
    <m/>
    <m/>
    <n v="43.125"/>
    <n v="2.5"/>
  </r>
  <r>
    <x v="14"/>
    <m/>
    <m/>
    <m/>
    <m/>
    <n v="0"/>
    <n v="0"/>
  </r>
  <r>
    <x v="15"/>
    <n v="9"/>
    <n v="3.5"/>
    <n v="1"/>
    <n v="0.4"/>
    <n v="319.125"/>
    <n v="18.5"/>
  </r>
  <r>
    <x v="16"/>
    <n v="1"/>
    <n v="0.8"/>
    <m/>
    <m/>
    <n v="69"/>
    <n v="4"/>
  </r>
  <r>
    <x v="17"/>
    <m/>
    <m/>
    <m/>
    <m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  <x v="0"/>
    <x v="0"/>
    <n v="395"/>
    <s v=""/>
    <s v="CITS2200Dummy, 02, 00000002"/>
    <n v="1"/>
    <s v="CITS2200Dummy, 02, 000000021"/>
    <n v="345"/>
    <n v="20"/>
  </r>
  <r>
    <x v="1"/>
    <x v="0"/>
    <x v="0"/>
    <n v="466"/>
    <s v=""/>
    <s v="CITS2002Dummy, 02, 00000002"/>
    <n v="1"/>
    <s v="CITS2002Dummy, 02, 000000021"/>
    <n v="173"/>
    <n v="10.028985507246377"/>
  </r>
  <r>
    <x v="2"/>
    <x v="0"/>
    <x v="1"/>
    <n v="684"/>
    <s v=""/>
    <s v="CITS2401Dummy, 01, 00000001"/>
    <n v="1"/>
    <s v="CITS2401Dummy, 01, 000000011"/>
    <n v="345"/>
    <n v="20"/>
  </r>
  <r>
    <x v="3"/>
    <x v="0"/>
    <x v="2"/>
    <n v="290"/>
    <s v=""/>
    <s v="CITS3002Dummy, 04, 00000004"/>
    <n v="1"/>
    <s v="CITS3002Dummy, 04, 000000041"/>
    <n v="100"/>
    <n v="5.7971014492753623"/>
  </r>
  <r>
    <x v="4"/>
    <x v="0"/>
    <x v="3"/>
    <n v="961"/>
    <s v=""/>
    <s v="MATH1011Dummy, 07, 00000007"/>
    <n v="1"/>
    <s v="MATH1011Dummy, 07, 000000071"/>
    <n v="215"/>
    <n v="12.463768115942029"/>
  </r>
  <r>
    <x v="4"/>
    <x v="0"/>
    <x v="4"/>
    <n v="961"/>
    <s v=""/>
    <s v="MATH1011Dummy, 05, 00000005"/>
    <n v="1"/>
    <s v="MATH1011Dummy, 05, 000000051"/>
    <n v="345"/>
    <n v="20"/>
  </r>
  <r>
    <x v="4"/>
    <x v="0"/>
    <x v="5"/>
    <n v="961"/>
    <s v=""/>
    <s v="MATH1011Dummy, 03, 00000003"/>
    <n v="1"/>
    <s v="MATH1011Dummy, 03, 000000031"/>
    <n v="130"/>
    <n v="7.5362318840579707"/>
  </r>
  <r>
    <x v="5"/>
    <x v="0"/>
    <x v="6"/>
    <n v="868"/>
    <s v=""/>
    <s v="MATH1012Dummy, 06, 00000006"/>
    <n v="1"/>
    <s v="MATH1012Dummy, 06, 000000061"/>
    <n v="345"/>
    <n v="20"/>
  </r>
  <r>
    <x v="5"/>
    <x v="0"/>
    <x v="3"/>
    <n v="868"/>
    <s v=""/>
    <s v="MATH1012Dummy, 07, 00000007"/>
    <n v="1"/>
    <s v="MATH1012Dummy, 07, 000000071"/>
    <n v="215"/>
    <n v="12.463768115942029"/>
  </r>
  <r>
    <x v="5"/>
    <x v="0"/>
    <x v="7"/>
    <n v="868"/>
    <s v=""/>
    <s v="MATH1012Dummy, 08, 00000008"/>
    <n v="1"/>
    <s v="MATH1012Dummy, 08, 000000081"/>
    <n v="130"/>
    <n v="7.5362318840579707"/>
  </r>
  <r>
    <x v="6"/>
    <x v="0"/>
    <x v="6"/>
    <n v="637"/>
    <s v=""/>
    <s v="MATH1721Dummy, 06, 00000006"/>
    <n v="1"/>
    <s v="MATH1721Dummy, 06, 000000061"/>
    <n v="560"/>
    <n v="32.463768115942031"/>
  </r>
  <r>
    <x v="6"/>
    <x v="0"/>
    <x v="8"/>
    <n v="637"/>
    <s v=""/>
    <s v="MATH1721Dummy, 09, 00000009"/>
    <n v="1"/>
    <s v="MATH1721Dummy, 09, 000000091"/>
    <n v="130"/>
    <n v="7.5362318840579707"/>
  </r>
  <r>
    <x v="7"/>
    <x v="0"/>
    <x v="9"/>
    <n v="33"/>
    <s v=""/>
    <s v="PHYS1200Dummy, 18, 00000018"/>
    <n v="1"/>
    <s v="PHYS1200Dummy, 18, 000000181"/>
    <n v="27.6"/>
    <n v="1.6"/>
  </r>
  <r>
    <x v="7"/>
    <x v="0"/>
    <x v="10"/>
    <n v="33"/>
    <s v=""/>
    <s v="PHYS1200Dummy, 16, 00000016"/>
    <n v="1"/>
    <s v="PHYS1200Dummy, 16, 000000161"/>
    <n v="55.2"/>
    <n v="3.2"/>
  </r>
  <r>
    <x v="7"/>
    <x v="0"/>
    <x v="6"/>
    <n v="33"/>
    <s v=""/>
    <s v="PHYS1200Dummy, 06, 00000006"/>
    <n v="1"/>
    <s v="PHYS1200Dummy, 06, 000000061"/>
    <n v="13.8"/>
    <n v="0.8"/>
  </r>
  <r>
    <x v="8"/>
    <x v="0"/>
    <x v="7"/>
    <n v="79"/>
    <s v=""/>
    <s v="PHYS3001Dummy, 08, 00000008"/>
    <n v="1"/>
    <s v="PHYS3001Dummy, 08, 000000081"/>
    <n v="248.4"/>
    <n v="14.4"/>
  </r>
  <r>
    <x v="8"/>
    <x v="0"/>
    <x v="11"/>
    <n v="79"/>
    <s v=""/>
    <s v="PHYS3001Dummy, 11, 00000011"/>
    <n v="1"/>
    <s v="PHYS3001Dummy, 11, 000000111"/>
    <n v="27.6"/>
    <n v="1.6"/>
  </r>
  <r>
    <x v="9"/>
    <x v="0"/>
    <x v="12"/>
    <n v="54"/>
    <s v=""/>
    <s v="PHYS3002Dummy, 14, 00000014"/>
    <n v="1"/>
    <s v="PHYS3002Dummy, 14, 000000141"/>
    <n v="248.4"/>
    <n v="14.4"/>
  </r>
  <r>
    <x v="9"/>
    <x v="0"/>
    <x v="13"/>
    <n v="54"/>
    <s v=""/>
    <s v="PHYS3002Dummy, 15, 00000015"/>
    <n v="1"/>
    <s v="PHYS3002Dummy, 15, 000000151"/>
    <n v="27.6"/>
    <n v="1.6"/>
  </r>
  <r>
    <x v="10"/>
    <x v="0"/>
    <x v="14"/>
    <n v="22"/>
    <s v=""/>
    <s v="PHYS4010Dummy, 13, 00000013"/>
    <n v="1"/>
    <s v="PHYS4010Dummy, 13, 000000131"/>
    <n v="276"/>
    <n v="16"/>
  </r>
  <r>
    <x v="11"/>
    <x v="0"/>
    <x v="12"/>
    <n v="12"/>
    <s v=""/>
    <s v="PHYS4020Dummy, 14, 00000014"/>
    <n v="1"/>
    <s v="PHYS4020Dummy, 14, 000000141"/>
    <n v="276"/>
    <n v="16"/>
  </r>
  <r>
    <x v="12"/>
    <x v="0"/>
    <x v="13"/>
    <n v="13"/>
    <s v=""/>
    <s v="PHYS4021Dummy, 15, 00000015"/>
    <n v="1"/>
    <s v="PHYS4021Dummy, 15, 000000151"/>
    <n v="0"/>
    <n v="0"/>
  </r>
  <r>
    <x v="13"/>
    <x v="0"/>
    <x v="10"/>
    <n v="11"/>
    <s v=""/>
    <s v="PHYS4022Dummy, 16, 00000016"/>
    <n v="1"/>
    <s v="PHYS4022Dummy, 16, 000000161"/>
    <n v="152"/>
    <n v="8.8115942028985508"/>
  </r>
  <r>
    <x v="13"/>
    <x v="0"/>
    <x v="15"/>
    <n v="11"/>
    <s v=""/>
    <s v="PHYS4022Dummy, 17, 00000017"/>
    <n v="1"/>
    <s v="PHYS4022Dummy, 17, 000000171"/>
    <n v="124"/>
    <n v="7.1884057971014492"/>
  </r>
  <r>
    <x v="14"/>
    <x v="0"/>
    <x v="9"/>
    <n v="13"/>
    <s v=""/>
    <s v="PHYS4415Dummy, 18, 00000018"/>
    <n v="1"/>
    <s v="PHYS4415Dummy, 18, 000000181"/>
    <n v="276"/>
    <n v="16"/>
  </r>
  <r>
    <x v="15"/>
    <x v="0"/>
    <x v="1"/>
    <n v="47"/>
    <s v=""/>
    <s v="CITS4010Dummy, 01, 00000001"/>
    <n v="1"/>
    <s v="CITS4010Dummy, 01, 000000011"/>
    <n v="21.5"/>
    <n v="1.2463768115942029"/>
  </r>
  <r>
    <x v="16"/>
    <x v="0"/>
    <x v="3"/>
    <n v="45"/>
    <s v=""/>
    <s v="CITS4011Dummy, 07, 00000007"/>
    <n v="1"/>
    <s v="CITS4011Dummy, 07, 000000071"/>
    <n v="53.75"/>
    <n v="3.1159420289855073"/>
  </r>
  <r>
    <x v="16"/>
    <x v="0"/>
    <x v="1"/>
    <n v="45"/>
    <s v=""/>
    <s v="CITS4011Dummy, 01, 00000001"/>
    <n v="1"/>
    <s v="CITS4011Dummy, 01, 000000011"/>
    <n v="64.5"/>
    <n v="3.7391304347826089"/>
  </r>
  <r>
    <x v="16"/>
    <x v="0"/>
    <x v="2"/>
    <n v="45"/>
    <s v=""/>
    <s v="CITS4011Dummy, 04, 00000004"/>
    <n v="1"/>
    <s v="CITS4011Dummy, 04, 000000041"/>
    <n v="10.75"/>
    <n v="0.62318840579710144"/>
  </r>
  <r>
    <x v="17"/>
    <x v="0"/>
    <x v="6"/>
    <n v="15"/>
    <s v=""/>
    <s v="CITS5014Dummy, 06, 00000006"/>
    <n v="1"/>
    <s v="CITS5014Dummy, 06, 000000061"/>
    <n v="10.75"/>
    <n v="0.62318840579710144"/>
  </r>
  <r>
    <x v="17"/>
    <x v="0"/>
    <x v="3"/>
    <n v="15"/>
    <s v=""/>
    <s v="CITS5014Dummy, 07, 00000007"/>
    <n v="1"/>
    <s v="CITS5014Dummy, 07, 000000071"/>
    <n v="21.5"/>
    <n v="1.2463768115942029"/>
  </r>
  <r>
    <x v="18"/>
    <x v="0"/>
    <x v="6"/>
    <n v="14"/>
    <s v=""/>
    <s v="MATH4001Dummy, 06, 00000006"/>
    <n v="1"/>
    <s v="MATH4001Dummy, 06, 000000061"/>
    <n v="10.75"/>
    <n v="0.62318840579710144"/>
  </r>
  <r>
    <x v="18"/>
    <x v="0"/>
    <x v="8"/>
    <n v="14"/>
    <s v=""/>
    <s v="MATH4001Dummy, 09, 00000009"/>
    <n v="1"/>
    <s v="MATH4001Dummy, 09, 000000091"/>
    <n v="43"/>
    <n v="2.4927536231884058"/>
  </r>
  <r>
    <x v="18"/>
    <x v="0"/>
    <x v="10"/>
    <n v="14"/>
    <s v=""/>
    <s v="MATH4001Dummy, 16, 00000016"/>
    <n v="1"/>
    <s v="MATH4001Dummy, 16, 000000161"/>
    <n v="21.5"/>
    <n v="1.2463768115942029"/>
  </r>
  <r>
    <x v="19"/>
    <x v="0"/>
    <x v="16"/>
    <s v=""/>
    <s v=""/>
    <s v=""/>
    <n v="1"/>
    <s v="1"/>
    <n v="0"/>
    <n v="0"/>
  </r>
  <r>
    <x v="19"/>
    <x v="0"/>
    <x v="16"/>
    <s v=""/>
    <s v=""/>
    <s v=""/>
    <n v="2"/>
    <s v="2"/>
    <n v="0"/>
    <n v="0"/>
  </r>
  <r>
    <x v="19"/>
    <x v="0"/>
    <x v="16"/>
    <s v=""/>
    <s v=""/>
    <s v=""/>
    <n v="3"/>
    <s v="3"/>
    <n v="0"/>
    <n v="0"/>
  </r>
  <r>
    <x v="19"/>
    <x v="0"/>
    <x v="16"/>
    <s v=""/>
    <s v=""/>
    <s v=""/>
    <n v="4"/>
    <s v="4"/>
    <n v="0"/>
    <n v="0"/>
  </r>
  <r>
    <x v="19"/>
    <x v="0"/>
    <x v="16"/>
    <s v=""/>
    <s v=""/>
    <s v=""/>
    <n v="5"/>
    <s v="5"/>
    <n v="0"/>
    <n v="0"/>
  </r>
  <r>
    <x v="19"/>
    <x v="0"/>
    <x v="16"/>
    <s v=""/>
    <s v=""/>
    <s v=""/>
    <n v="6"/>
    <s v="6"/>
    <n v="0"/>
    <n v="0"/>
  </r>
  <r>
    <x v="19"/>
    <x v="0"/>
    <x v="16"/>
    <s v=""/>
    <s v=""/>
    <s v=""/>
    <n v="7"/>
    <s v="7"/>
    <n v="0"/>
    <n v="0"/>
  </r>
  <r>
    <x v="19"/>
    <x v="0"/>
    <x v="16"/>
    <s v=""/>
    <s v=""/>
    <s v=""/>
    <n v="8"/>
    <s v="8"/>
    <n v="0"/>
    <n v="0"/>
  </r>
  <r>
    <x v="19"/>
    <x v="0"/>
    <x v="16"/>
    <s v=""/>
    <s v=""/>
    <s v=""/>
    <n v="9"/>
    <s v="9"/>
    <n v="0"/>
    <n v="0"/>
  </r>
  <r>
    <x v="19"/>
    <x v="0"/>
    <x v="16"/>
    <s v=""/>
    <s v=""/>
    <s v=""/>
    <n v="10"/>
    <s v="10"/>
    <n v="0"/>
    <n v="0"/>
  </r>
  <r>
    <x v="19"/>
    <x v="0"/>
    <x v="16"/>
    <s v=""/>
    <s v=""/>
    <s v=""/>
    <n v="11"/>
    <s v="11"/>
    <n v="0"/>
    <n v="0"/>
  </r>
  <r>
    <x v="19"/>
    <x v="0"/>
    <x v="16"/>
    <s v=""/>
    <s v=""/>
    <s v=""/>
    <n v="12"/>
    <s v="12"/>
    <n v="0"/>
    <n v="0"/>
  </r>
  <r>
    <x v="19"/>
    <x v="0"/>
    <x v="16"/>
    <s v=""/>
    <s v=""/>
    <s v=""/>
    <n v="13"/>
    <s v="13"/>
    <n v="0"/>
    <n v="0"/>
  </r>
  <r>
    <x v="19"/>
    <x v="0"/>
    <x v="16"/>
    <s v=""/>
    <s v=""/>
    <s v=""/>
    <n v="14"/>
    <s v="14"/>
    <n v="0"/>
    <n v="0"/>
  </r>
  <r>
    <x v="19"/>
    <x v="0"/>
    <x v="16"/>
    <s v=""/>
    <s v=""/>
    <s v=""/>
    <n v="15"/>
    <s v="15"/>
    <n v="0"/>
    <n v="0"/>
  </r>
  <r>
    <x v="19"/>
    <x v="0"/>
    <x v="16"/>
    <s v=""/>
    <s v=""/>
    <s v=""/>
    <n v="16"/>
    <s v="16"/>
    <n v="0"/>
    <n v="0"/>
  </r>
  <r>
    <x v="19"/>
    <x v="0"/>
    <x v="16"/>
    <s v=""/>
    <s v=""/>
    <s v=""/>
    <n v="17"/>
    <s v="17"/>
    <n v="0"/>
    <n v="0"/>
  </r>
  <r>
    <x v="19"/>
    <x v="0"/>
    <x v="16"/>
    <s v=""/>
    <s v=""/>
    <s v=""/>
    <n v="18"/>
    <s v="18"/>
    <n v="0"/>
    <n v="0"/>
  </r>
  <r>
    <x v="19"/>
    <x v="0"/>
    <x v="16"/>
    <s v=""/>
    <s v=""/>
    <s v=""/>
    <n v="19"/>
    <s v="19"/>
    <n v="0"/>
    <n v="0"/>
  </r>
  <r>
    <x v="19"/>
    <x v="0"/>
    <x v="16"/>
    <s v=""/>
    <s v=""/>
    <s v=""/>
    <n v="20"/>
    <s v="20"/>
    <n v="0"/>
    <n v="0"/>
  </r>
  <r>
    <x v="19"/>
    <x v="0"/>
    <x v="16"/>
    <s v=""/>
    <s v=""/>
    <s v=""/>
    <n v="21"/>
    <s v="21"/>
    <n v="0"/>
    <n v="0"/>
  </r>
  <r>
    <x v="19"/>
    <x v="0"/>
    <x v="16"/>
    <s v=""/>
    <s v=""/>
    <s v=""/>
    <n v="22"/>
    <s v="22"/>
    <n v="0"/>
    <n v="0"/>
  </r>
  <r>
    <x v="19"/>
    <x v="0"/>
    <x v="16"/>
    <s v=""/>
    <s v=""/>
    <s v=""/>
    <n v="23"/>
    <s v="23"/>
    <n v="0"/>
    <n v="0"/>
  </r>
  <r>
    <x v="19"/>
    <x v="0"/>
    <x v="16"/>
    <s v=""/>
    <s v=""/>
    <s v=""/>
    <n v="24"/>
    <s v="24"/>
    <n v="0"/>
    <n v="0"/>
  </r>
  <r>
    <x v="19"/>
    <x v="0"/>
    <x v="16"/>
    <s v=""/>
    <s v=""/>
    <s v=""/>
    <n v="25"/>
    <s v="25"/>
    <n v="0"/>
    <n v="0"/>
  </r>
  <r>
    <x v="19"/>
    <x v="0"/>
    <x v="16"/>
    <s v=""/>
    <s v=""/>
    <s v=""/>
    <n v="26"/>
    <s v="26"/>
    <n v="0"/>
    <n v="0"/>
  </r>
  <r>
    <x v="19"/>
    <x v="0"/>
    <x v="16"/>
    <s v=""/>
    <s v=""/>
    <s v=""/>
    <n v="27"/>
    <s v="27"/>
    <n v="0"/>
    <n v="0"/>
  </r>
  <r>
    <x v="19"/>
    <x v="0"/>
    <x v="16"/>
    <s v=""/>
    <s v=""/>
    <s v=""/>
    <n v="28"/>
    <s v="28"/>
    <n v="0"/>
    <n v="0"/>
  </r>
  <r>
    <x v="19"/>
    <x v="0"/>
    <x v="16"/>
    <s v=""/>
    <s v=""/>
    <s v=""/>
    <n v="29"/>
    <s v="29"/>
    <n v="0"/>
    <n v="0"/>
  </r>
  <r>
    <x v="19"/>
    <x v="0"/>
    <x v="16"/>
    <s v=""/>
    <s v=""/>
    <s v=""/>
    <n v="30"/>
    <s v="30"/>
    <n v="0"/>
    <n v="0"/>
  </r>
  <r>
    <x v="19"/>
    <x v="0"/>
    <x v="16"/>
    <s v=""/>
    <s v=""/>
    <s v=""/>
    <n v="31"/>
    <s v="31"/>
    <n v="0"/>
    <n v="0"/>
  </r>
  <r>
    <x v="19"/>
    <x v="1"/>
    <x v="16"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n v="2"/>
    <n v="0.8"/>
    <n v="0"/>
    <n v="0"/>
    <n v="69"/>
    <n v="4"/>
  </r>
  <r>
    <x v="1"/>
    <m/>
    <m/>
    <m/>
    <m/>
    <n v="0"/>
    <n v="0"/>
  </r>
  <r>
    <x v="2"/>
    <n v="1"/>
    <n v="0.2"/>
    <m/>
    <m/>
    <n v="17.25"/>
    <n v="1"/>
  </r>
  <r>
    <x v="3"/>
    <n v="2"/>
    <n v="1"/>
    <m/>
    <m/>
    <n v="86.25"/>
    <n v="5"/>
  </r>
  <r>
    <x v="4"/>
    <n v="10"/>
    <n v="4.95"/>
    <n v="2"/>
    <n v="0.4"/>
    <n v="444.1875"/>
    <n v="25.75"/>
  </r>
  <r>
    <x v="5"/>
    <n v="1"/>
    <n v="0.2"/>
    <m/>
    <m/>
    <n v="17.25"/>
    <n v="1"/>
  </r>
  <r>
    <x v="6"/>
    <n v="3"/>
    <n v="1.05"/>
    <m/>
    <m/>
    <n v="90.5625"/>
    <n v="5.25"/>
  </r>
  <r>
    <x v="7"/>
    <n v="4"/>
    <n v="1.45"/>
    <n v="1"/>
    <n v="0.4"/>
    <n v="142.3125"/>
    <n v="8.25"/>
  </r>
  <r>
    <x v="8"/>
    <n v="1"/>
    <n v="0.5"/>
    <n v="1"/>
    <n v="0.5"/>
    <n v="64.6875"/>
    <n v="3.75"/>
  </r>
  <r>
    <x v="9"/>
    <m/>
    <m/>
    <m/>
    <m/>
    <n v="0"/>
    <n v="0"/>
  </r>
  <r>
    <x v="10"/>
    <m/>
    <m/>
    <m/>
    <m/>
    <n v="0"/>
    <n v="0"/>
  </r>
  <r>
    <x v="11"/>
    <n v="2"/>
    <n v="1"/>
    <m/>
    <m/>
    <n v="86.25"/>
    <n v="5"/>
  </r>
  <r>
    <x v="12"/>
    <n v="4"/>
    <n v="1.5"/>
    <m/>
    <m/>
    <n v="129.375"/>
    <n v="7.5"/>
  </r>
  <r>
    <x v="13"/>
    <n v="1"/>
    <n v="0.5"/>
    <m/>
    <m/>
    <n v="43.125"/>
    <n v="2.5"/>
  </r>
  <r>
    <x v="14"/>
    <m/>
    <m/>
    <m/>
    <m/>
    <n v="0"/>
    <n v="0"/>
  </r>
  <r>
    <x v="15"/>
    <n v="9"/>
    <n v="3.5"/>
    <n v="1"/>
    <n v="0.4"/>
    <n v="319.125"/>
    <n v="18.5"/>
  </r>
  <r>
    <x v="16"/>
    <n v="1"/>
    <n v="0.8"/>
    <m/>
    <m/>
    <n v="69"/>
    <n v="4"/>
  </r>
  <r>
    <x v="17"/>
    <m/>
    <m/>
    <m/>
    <m/>
    <n v="0"/>
    <n v="0"/>
  </r>
  <r>
    <x v="18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19"/>
    <m/>
    <m/>
    <m/>
    <m/>
    <m/>
    <m/>
  </r>
  <r>
    <x v="20"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n v="1"/>
    <x v="0"/>
    <n v="50"/>
  </r>
  <r>
    <x v="1"/>
    <n v="0.92"/>
    <x v="1"/>
    <n v="0"/>
  </r>
  <r>
    <x v="2"/>
    <n v="0.92"/>
    <x v="1"/>
    <n v="0"/>
  </r>
  <r>
    <x v="3"/>
    <n v="1"/>
    <x v="0"/>
    <n v="15.014492753623188"/>
  </r>
  <r>
    <x v="4"/>
    <n v="1"/>
    <x v="0"/>
    <n v="0"/>
  </r>
  <r>
    <x v="5"/>
    <n v="1"/>
    <x v="0"/>
    <n v="0"/>
  </r>
  <r>
    <x v="6"/>
    <n v="1"/>
    <x v="0"/>
    <n v="0"/>
  </r>
  <r>
    <x v="7"/>
    <n v="1"/>
    <x v="0"/>
    <n v="0"/>
  </r>
  <r>
    <x v="8"/>
    <n v="1"/>
    <x v="0"/>
    <n v="59.072463768115938"/>
  </r>
  <r>
    <x v="9"/>
    <n v="1"/>
    <x v="0"/>
    <n v="0"/>
  </r>
  <r>
    <x v="10"/>
    <n v="1"/>
    <x v="0"/>
    <n v="8.1159420289855078"/>
  </r>
  <r>
    <x v="11"/>
    <n v="1"/>
    <x v="0"/>
    <n v="10.028985507246377"/>
  </r>
  <r>
    <x v="12"/>
    <n v="1"/>
    <x v="0"/>
    <n v="6.666666666666667"/>
  </r>
  <r>
    <x v="13"/>
    <n v="1"/>
    <x v="0"/>
    <n v="0"/>
  </r>
  <r>
    <x v="14"/>
    <n v="1"/>
    <x v="0"/>
    <n v="0"/>
  </r>
  <r>
    <x v="15"/>
    <n v="0.96"/>
    <x v="2"/>
    <n v="12.173913043478262"/>
  </r>
  <r>
    <x v="16"/>
    <n v="0.8"/>
    <x v="3"/>
    <n v="10.028985507246377"/>
  </r>
  <r>
    <x v="17"/>
    <n v="1"/>
    <x v="0"/>
    <n v="0"/>
  </r>
  <r>
    <x v="18"/>
    <n v="0"/>
    <x v="4"/>
    <n v="1.6666666666666667"/>
  </r>
  <r>
    <x v="19"/>
    <s v=""/>
    <x v="5"/>
    <n v="0"/>
  </r>
  <r>
    <x v="19"/>
    <s v=""/>
    <x v="5"/>
    <n v="10.028985507246377"/>
  </r>
  <r>
    <x v="19"/>
    <s v=""/>
    <x v="5"/>
    <n v="0"/>
  </r>
  <r>
    <x v="19"/>
    <s v=""/>
    <x v="5"/>
    <n v="0"/>
  </r>
  <r>
    <x v="19"/>
    <s v=""/>
    <x v="5"/>
    <n v="40"/>
  </r>
  <r>
    <x v="19"/>
    <s v=""/>
    <x v="5"/>
    <n v="10.028985507246377"/>
  </r>
  <r>
    <x v="19"/>
    <s v=""/>
    <x v="5"/>
    <n v="0"/>
  </r>
  <r>
    <x v="19"/>
    <s v=""/>
    <x v="5"/>
    <n v="24.405797101449277"/>
  </r>
  <r>
    <x v="19"/>
    <s v=""/>
    <x v="5"/>
    <n v="0"/>
  </r>
  <r>
    <x v="19"/>
    <s v=""/>
    <x v="5"/>
    <n v="0"/>
  </r>
  <r>
    <x v="19"/>
    <s v=""/>
    <x v="5"/>
    <n v="0"/>
  </r>
  <r>
    <x v="19"/>
    <s v=""/>
    <x v="5"/>
    <n v="4.63768115942029"/>
  </r>
  <r>
    <x v="20"/>
    <n v="0"/>
    <x v="4"/>
    <n v="10.028985507246377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39.246376811594203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1.6666666666666667"/>
  </r>
  <r>
    <x v="20"/>
    <n v="0"/>
    <x v="4"/>
    <n v="16.231884057971016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4.0579710144927539"/>
  </r>
  <r>
    <x v="20"/>
    <n v="0"/>
    <x v="4"/>
    <n v="0"/>
  </r>
  <r>
    <x v="20"/>
    <n v="0"/>
    <x v="4"/>
    <n v="0"/>
  </r>
  <r>
    <x v="20"/>
    <n v="0"/>
    <x v="4"/>
    <n v="4.0579710144927539"/>
  </r>
  <r>
    <x v="20"/>
    <n v="0"/>
    <x v="4"/>
    <n v="51.869565217391312"/>
  </r>
  <r>
    <x v="20"/>
    <n v="0"/>
    <x v="4"/>
    <n v="0"/>
  </r>
  <r>
    <x v="20"/>
    <n v="0"/>
    <x v="4"/>
    <n v="7.8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3.4782608695652173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18.333333333333336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70"/>
  </r>
  <r>
    <x v="20"/>
    <n v="0"/>
    <x v="4"/>
    <n v="12.985507246376812"/>
  </r>
  <r>
    <x v="20"/>
    <n v="0"/>
    <x v="4"/>
    <n v="0"/>
  </r>
  <r>
    <x v="20"/>
    <n v="0"/>
    <x v="4"/>
    <n v="0"/>
  </r>
  <r>
    <x v="20"/>
    <n v="0"/>
    <x v="4"/>
    <n v="1.1594202898550725"/>
  </r>
  <r>
    <x v="20"/>
    <n v="0"/>
    <x v="4"/>
    <n v="1.6666666666666667"/>
  </r>
  <r>
    <x v="20"/>
    <n v="0"/>
    <x v="4"/>
    <n v="4.9855072463768115"/>
  </r>
  <r>
    <x v="20"/>
    <n v="0"/>
    <x v="4"/>
    <n v="2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15.014492753623188"/>
  </r>
  <r>
    <x v="20"/>
    <n v="0"/>
    <x v="4"/>
    <n v="10"/>
  </r>
  <r>
    <x v="20"/>
    <n v="0"/>
    <x v="4"/>
    <n v="0"/>
  </r>
  <r>
    <x v="20"/>
    <n v="0"/>
    <x v="4"/>
    <n v="0"/>
  </r>
  <r>
    <x v="20"/>
    <n v="0"/>
    <x v="4"/>
    <n v="10"/>
  </r>
  <r>
    <x v="20"/>
    <n v="0"/>
    <x v="4"/>
    <n v="50.028985507246375"/>
  </r>
  <r>
    <x v="20"/>
    <n v="0"/>
    <x v="4"/>
    <n v="4.9855072463768115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3.4782608695652173"/>
  </r>
  <r>
    <x v="20"/>
    <n v="0"/>
    <x v="4"/>
    <n v="0"/>
  </r>
  <r>
    <x v="20"/>
    <n v="0"/>
    <x v="4"/>
    <n v="0"/>
  </r>
  <r>
    <x v="20"/>
    <n v="0"/>
    <x v="4"/>
    <n v="16.057971014492754"/>
  </r>
  <r>
    <x v="20"/>
    <n v="0"/>
    <x v="4"/>
    <n v="0"/>
  </r>
  <r>
    <x v="20"/>
    <n v="0"/>
    <x v="4"/>
    <n v="0"/>
  </r>
  <r>
    <x v="20"/>
    <n v="0"/>
    <x v="4"/>
    <n v="2"/>
  </r>
  <r>
    <x v="20"/>
    <n v="0"/>
    <x v="4"/>
    <n v="0"/>
  </r>
  <r>
    <x v="20"/>
    <n v="0"/>
    <x v="4"/>
    <n v="12.231884057971016"/>
  </r>
  <r>
    <x v="20"/>
    <n v="0"/>
    <x v="4"/>
    <n v="12.173913043478262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n v="0"/>
    <x v="4"/>
    <n v="0"/>
  </r>
  <r>
    <x v="20"/>
    <m/>
    <x v="6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  <s v="Academic staff"/>
    <x v="0"/>
    <n v="395"/>
    <s v=""/>
    <s v="CITS2200Dummy, 02, 00000002"/>
    <n v="1"/>
    <s v="CITS2200Dummy, 02, 000000021"/>
    <n v="345"/>
    <n v="20"/>
    <n v="0"/>
    <n v="0"/>
    <n v="0"/>
    <n v="0"/>
    <n v="0"/>
    <n v="0"/>
    <n v="0"/>
    <n v="0"/>
  </r>
  <r>
    <x v="1"/>
    <s v="Academic staff"/>
    <x v="0"/>
    <n v="466"/>
    <s v=""/>
    <s v="CITS2002Dummy, 02, 00000002"/>
    <n v="1"/>
    <s v="CITS2002Dummy, 02, 000000021"/>
    <n v="173"/>
    <n v="10.028985507246377"/>
    <n v="0"/>
    <n v="0"/>
    <n v="0"/>
    <n v="0"/>
    <n v="0"/>
    <n v="0"/>
    <n v="0"/>
    <n v="0"/>
  </r>
  <r>
    <x v="2"/>
    <s v="Academic staff"/>
    <x v="1"/>
    <n v="684"/>
    <s v=""/>
    <s v="CITS2401Dummy, 01, 00000001"/>
    <n v="1"/>
    <s v="CITS2401Dummy, 01, 000000011"/>
    <n v="345"/>
    <n v="20"/>
    <n v="0"/>
    <n v="0"/>
    <n v="0"/>
    <n v="0"/>
    <n v="0"/>
    <n v="0"/>
    <n v="0"/>
    <n v="0"/>
  </r>
  <r>
    <x v="3"/>
    <s v="Academic staff"/>
    <x v="2"/>
    <n v="290"/>
    <s v=""/>
    <s v="CITS3002Dummy, 04, 00000004"/>
    <n v="1"/>
    <s v="CITS3002Dummy, 04, 000000041"/>
    <n v="100"/>
    <n v="5.7971014492753623"/>
    <n v="0"/>
    <n v="0"/>
    <n v="0"/>
    <n v="0"/>
    <n v="0"/>
    <n v="0"/>
    <n v="0"/>
    <n v="0"/>
  </r>
  <r>
    <x v="4"/>
    <s v="Academic staff"/>
    <x v="3"/>
    <n v="961"/>
    <s v=""/>
    <s v="MATH1011Dummy, 07, 00000007"/>
    <n v="1"/>
    <s v="MATH1011Dummy, 07, 000000071"/>
    <n v="215"/>
    <n v="12.463768115942029"/>
    <n v="0"/>
    <n v="0"/>
    <n v="0"/>
    <n v="0"/>
    <n v="0"/>
    <n v="0"/>
    <n v="0"/>
    <n v="0"/>
  </r>
  <r>
    <x v="4"/>
    <s v="Academic staff"/>
    <x v="4"/>
    <n v="961"/>
    <s v=""/>
    <s v="MATH1011Dummy, 05, 00000005"/>
    <n v="1"/>
    <s v="MATH1011Dummy, 05, 000000051"/>
    <n v="345"/>
    <n v="20"/>
    <n v="0"/>
    <n v="0"/>
    <n v="0"/>
    <n v="0"/>
    <n v="0"/>
    <n v="0"/>
    <n v="0"/>
    <n v="0"/>
  </r>
  <r>
    <x v="4"/>
    <s v="Academic staff"/>
    <x v="5"/>
    <n v="961"/>
    <s v=""/>
    <s v="MATH1011Dummy, 03, 00000003"/>
    <n v="1"/>
    <s v="MATH1011Dummy, 03, 000000031"/>
    <n v="130"/>
    <n v="7.5362318840579707"/>
    <n v="0"/>
    <n v="0"/>
    <n v="0"/>
    <n v="0"/>
    <n v="0"/>
    <n v="0"/>
    <n v="0"/>
    <n v="0"/>
  </r>
  <r>
    <x v="5"/>
    <s v="Academic staff"/>
    <x v="6"/>
    <n v="868"/>
    <s v=""/>
    <s v="MATH1012Dummy, 06, 00000006"/>
    <n v="1"/>
    <s v="MATH1012Dummy, 06, 000000061"/>
    <n v="345"/>
    <n v="20"/>
    <n v="0"/>
    <n v="0"/>
    <n v="0"/>
    <n v="0"/>
    <n v="0"/>
    <n v="0"/>
    <n v="0"/>
    <n v="0"/>
  </r>
  <r>
    <x v="5"/>
    <s v="Academic staff"/>
    <x v="3"/>
    <n v="868"/>
    <s v=""/>
    <s v="MATH1012Dummy, 07, 00000007"/>
    <n v="1"/>
    <s v="MATH1012Dummy, 07, 000000071"/>
    <n v="215"/>
    <n v="12.463768115942029"/>
    <n v="0"/>
    <n v="0"/>
    <n v="0"/>
    <n v="0"/>
    <n v="0"/>
    <n v="0"/>
    <n v="0"/>
    <n v="0"/>
  </r>
  <r>
    <x v="5"/>
    <s v="Academic staff"/>
    <x v="7"/>
    <n v="868"/>
    <s v=""/>
    <s v="MATH1012Dummy, 08, 00000008"/>
    <n v="1"/>
    <s v="MATH1012Dummy, 08, 000000081"/>
    <n v="130"/>
    <n v="7.5362318840579707"/>
    <n v="0"/>
    <n v="0"/>
    <n v="0"/>
    <n v="0"/>
    <n v="0"/>
    <n v="0"/>
    <n v="0"/>
    <n v="0"/>
  </r>
  <r>
    <x v="6"/>
    <s v="Academic staff"/>
    <x v="6"/>
    <n v="637"/>
    <s v=""/>
    <s v="MATH1721Dummy, 06, 00000006"/>
    <n v="1"/>
    <s v="MATH1721Dummy, 06, 000000061"/>
    <n v="560"/>
    <n v="32.463768115942031"/>
    <n v="0"/>
    <n v="0"/>
    <n v="0"/>
    <n v="0"/>
    <n v="0"/>
    <n v="0"/>
    <n v="0"/>
    <n v="0"/>
  </r>
  <r>
    <x v="6"/>
    <s v="Academic staff"/>
    <x v="8"/>
    <n v="637"/>
    <s v=""/>
    <s v="MATH1721Dummy, 09, 00000009"/>
    <n v="1"/>
    <s v="MATH1721Dummy, 09, 000000091"/>
    <n v="130"/>
    <n v="7.5362318840579707"/>
    <n v="0"/>
    <n v="0"/>
    <n v="0"/>
    <n v="0"/>
    <n v="0"/>
    <n v="0"/>
    <n v="0"/>
    <n v="0"/>
  </r>
  <r>
    <x v="7"/>
    <s v="Academic staff"/>
    <x v="9"/>
    <n v="33"/>
    <s v=""/>
    <s v="PHYS1200Dummy, 18, 00000018"/>
    <n v="1"/>
    <s v="PHYS1200Dummy, 18, 000000181"/>
    <n v="27.6"/>
    <n v="1.6"/>
    <n v="0"/>
    <n v="0"/>
    <n v="0"/>
    <n v="0"/>
    <n v="0"/>
    <n v="0"/>
    <n v="0"/>
    <n v="0"/>
  </r>
  <r>
    <x v="7"/>
    <s v="Academic staff"/>
    <x v="10"/>
    <n v="33"/>
    <s v=""/>
    <s v="PHYS1200Dummy, 16, 00000016"/>
    <n v="1"/>
    <s v="PHYS1200Dummy, 16, 000000161"/>
    <n v="55.2"/>
    <n v="3.2"/>
    <n v="0"/>
    <n v="0"/>
    <n v="0"/>
    <n v="0"/>
    <n v="0"/>
    <n v="0"/>
    <n v="0"/>
    <n v="0"/>
  </r>
  <r>
    <x v="7"/>
    <s v="Academic staff"/>
    <x v="6"/>
    <n v="33"/>
    <s v=""/>
    <s v="PHYS1200Dummy, 06, 00000006"/>
    <n v="1"/>
    <s v="PHYS1200Dummy, 06, 000000061"/>
    <n v="13.8"/>
    <n v="0.8"/>
    <n v="0"/>
    <n v="0"/>
    <n v="0"/>
    <n v="0"/>
    <n v="0"/>
    <n v="0"/>
    <n v="0"/>
    <n v="0"/>
  </r>
  <r>
    <x v="8"/>
    <s v="Academic staff"/>
    <x v="7"/>
    <n v="79"/>
    <s v=""/>
    <s v="PHYS3001Dummy, 08, 00000008"/>
    <n v="1"/>
    <s v="PHYS3001Dummy, 08, 000000081"/>
    <n v="248.4"/>
    <n v="14.4"/>
    <n v="0"/>
    <n v="0"/>
    <n v="0"/>
    <n v="0"/>
    <n v="0"/>
    <n v="0"/>
    <n v="0"/>
    <n v="0"/>
  </r>
  <r>
    <x v="8"/>
    <s v="Academic staff"/>
    <x v="11"/>
    <n v="79"/>
    <s v=""/>
    <s v="PHYS3001Dummy, 11, 00000011"/>
    <n v="1"/>
    <s v="PHYS3001Dummy, 11, 000000111"/>
    <n v="27.6"/>
    <n v="1.6"/>
    <n v="0"/>
    <n v="0"/>
    <n v="0"/>
    <n v="0"/>
    <n v="0"/>
    <n v="0"/>
    <n v="0"/>
    <n v="0"/>
  </r>
  <r>
    <x v="9"/>
    <s v="Academic staff"/>
    <x v="12"/>
    <n v="54"/>
    <s v=""/>
    <s v="PHYS3002Dummy, 14, 00000014"/>
    <n v="1"/>
    <s v="PHYS3002Dummy, 14, 000000141"/>
    <n v="248.4"/>
    <n v="14.4"/>
    <n v="0"/>
    <n v="0"/>
    <n v="0"/>
    <n v="0"/>
    <n v="0"/>
    <n v="0"/>
    <n v="0"/>
    <n v="0"/>
  </r>
  <r>
    <x v="9"/>
    <s v="Academic staff"/>
    <x v="13"/>
    <n v="54"/>
    <s v=""/>
    <s v="PHYS3002Dummy, 15, 00000015"/>
    <n v="1"/>
    <s v="PHYS3002Dummy, 15, 000000151"/>
    <n v="27.6"/>
    <n v="1.6"/>
    <n v="0"/>
    <n v="0"/>
    <n v="0"/>
    <n v="0"/>
    <n v="0"/>
    <n v="0"/>
    <n v="0"/>
    <n v="0"/>
  </r>
  <r>
    <x v="10"/>
    <s v="Academic staff"/>
    <x v="14"/>
    <n v="22"/>
    <s v=""/>
    <s v="PHYS4010Dummy, 13, 00000013"/>
    <n v="1"/>
    <s v="PHYS4010Dummy, 13, 000000131"/>
    <n v="276"/>
    <n v="16"/>
    <n v="0"/>
    <n v="0"/>
    <n v="0"/>
    <n v="0"/>
    <n v="0"/>
    <n v="0"/>
    <n v="0"/>
    <n v="0"/>
  </r>
  <r>
    <x v="11"/>
    <s v="Academic staff"/>
    <x v="12"/>
    <n v="12"/>
    <s v=""/>
    <s v="PHYS4020Dummy, 14, 00000014"/>
    <n v="1"/>
    <s v="PHYS4020Dummy, 14, 000000141"/>
    <n v="276"/>
    <n v="16"/>
    <n v="0"/>
    <n v="0"/>
    <n v="0"/>
    <n v="0"/>
    <n v="0"/>
    <n v="0"/>
    <n v="0"/>
    <n v="0"/>
  </r>
  <r>
    <x v="12"/>
    <s v="Academic staff"/>
    <x v="13"/>
    <n v="13"/>
    <s v=""/>
    <s v="PHYS4021Dummy, 15, 00000015"/>
    <n v="1"/>
    <s v="PHYS4021Dummy, 15, 000000151"/>
    <n v="0"/>
    <n v="0"/>
    <n v="0"/>
    <n v="0"/>
    <n v="0"/>
    <n v="0"/>
    <n v="0"/>
    <n v="0"/>
    <n v="0"/>
    <n v="0"/>
  </r>
  <r>
    <x v="13"/>
    <s v="Academic staff"/>
    <x v="10"/>
    <n v="11"/>
    <s v=""/>
    <s v="PHYS4022Dummy, 16, 00000016"/>
    <n v="1"/>
    <s v="PHYS4022Dummy, 16, 000000161"/>
    <n v="152"/>
    <n v="8.8115942028985508"/>
    <n v="0"/>
    <n v="0"/>
    <n v="0"/>
    <n v="0"/>
    <n v="0"/>
    <n v="0"/>
    <n v="0"/>
    <n v="0"/>
  </r>
  <r>
    <x v="13"/>
    <s v="Academic staff"/>
    <x v="15"/>
    <n v="11"/>
    <s v=""/>
    <s v="PHYS4022Dummy, 17, 00000017"/>
    <n v="1"/>
    <s v="PHYS4022Dummy, 17, 000000171"/>
    <n v="124"/>
    <n v="7.1884057971014492"/>
    <n v="0"/>
    <n v="0"/>
    <n v="0"/>
    <n v="0"/>
    <n v="0"/>
    <n v="0"/>
    <n v="0"/>
    <n v="0"/>
  </r>
  <r>
    <x v="14"/>
    <s v="Academic staff"/>
    <x v="9"/>
    <n v="13"/>
    <s v=""/>
    <s v="PHYS4415Dummy, 18, 00000018"/>
    <n v="1"/>
    <s v="PHYS4415Dummy, 18, 000000181"/>
    <n v="276"/>
    <n v="16"/>
    <n v="0"/>
    <n v="0"/>
    <n v="0"/>
    <n v="0"/>
    <n v="0"/>
    <n v="0"/>
    <n v="0"/>
    <n v="0"/>
  </r>
  <r>
    <x v="15"/>
    <s v="Academic staff"/>
    <x v="1"/>
    <n v="47"/>
    <s v=""/>
    <s v="CITS4010Dummy, 01, 00000001"/>
    <n v="1"/>
    <s v="CITS4010Dummy, 01, 000000011"/>
    <n v="21.5"/>
    <n v="1.2463768115942029"/>
    <n v="0"/>
    <n v="0"/>
    <n v="0"/>
    <n v="0"/>
    <n v="21.5"/>
    <n v="1.2463768115942029"/>
    <n v="0"/>
    <n v="0"/>
  </r>
  <r>
    <x v="16"/>
    <s v="Academic staff"/>
    <x v="3"/>
    <n v="45"/>
    <s v=""/>
    <s v="CITS4011Dummy, 07, 00000007"/>
    <n v="1"/>
    <s v="CITS4011Dummy, 07, 000000071"/>
    <n v="53.75"/>
    <n v="3.1159420289855073"/>
    <n v="0"/>
    <n v="0"/>
    <n v="0"/>
    <n v="0"/>
    <n v="53.75"/>
    <n v="3.1159420289855073"/>
    <n v="0"/>
    <n v="0"/>
  </r>
  <r>
    <x v="16"/>
    <s v="Academic staff"/>
    <x v="1"/>
    <n v="45"/>
    <s v=""/>
    <s v="CITS4011Dummy, 01, 00000001"/>
    <n v="1"/>
    <s v="CITS4011Dummy, 01, 000000011"/>
    <n v="64.5"/>
    <n v="3.7391304347826089"/>
    <n v="0"/>
    <n v="0"/>
    <n v="0"/>
    <n v="0"/>
    <n v="64.5"/>
    <n v="3.7391304347826089"/>
    <n v="0"/>
    <n v="0"/>
  </r>
  <r>
    <x v="16"/>
    <s v="Academic staff"/>
    <x v="2"/>
    <n v="45"/>
    <s v=""/>
    <s v="CITS4011Dummy, 04, 00000004"/>
    <n v="1"/>
    <s v="CITS4011Dummy, 04, 000000041"/>
    <n v="10.75"/>
    <n v="0.62318840579710144"/>
    <n v="0"/>
    <n v="0"/>
    <n v="0"/>
    <n v="0"/>
    <n v="10.75"/>
    <n v="0.62318840579710144"/>
    <n v="0"/>
    <n v="0"/>
  </r>
  <r>
    <x v="17"/>
    <s v="Academic staff"/>
    <x v="6"/>
    <n v="15"/>
    <s v=""/>
    <s v="CITS5014Dummy, 06, 00000006"/>
    <n v="1"/>
    <s v="CITS5014Dummy, 06, 000000061"/>
    <n v="10.75"/>
    <n v="0.62318840579710144"/>
    <n v="0"/>
    <n v="0"/>
    <n v="0"/>
    <n v="0"/>
    <n v="10.75"/>
    <n v="0.62318840579710144"/>
    <n v="0"/>
    <n v="0"/>
  </r>
  <r>
    <x v="17"/>
    <s v="Academic staff"/>
    <x v="3"/>
    <n v="15"/>
    <s v=""/>
    <s v="CITS5014Dummy, 07, 00000007"/>
    <n v="1"/>
    <s v="CITS5014Dummy, 07, 000000071"/>
    <n v="21.5"/>
    <n v="1.2463768115942029"/>
    <n v="0"/>
    <n v="0"/>
    <n v="0"/>
    <n v="0"/>
    <n v="21.5"/>
    <n v="1.2463768115942029"/>
    <n v="0"/>
    <n v="0"/>
  </r>
  <r>
    <x v="18"/>
    <s v="Academic staff"/>
    <x v="6"/>
    <n v="14"/>
    <s v=""/>
    <s v="MATH4001Dummy, 06, 00000006"/>
    <n v="1"/>
    <s v="MATH4001Dummy, 06, 000000061"/>
    <n v="10.75"/>
    <n v="0.62318840579710144"/>
    <n v="0"/>
    <n v="0"/>
    <n v="0"/>
    <n v="0"/>
    <n v="10.75"/>
    <n v="0.62318840579710144"/>
    <n v="0"/>
    <n v="0"/>
  </r>
  <r>
    <x v="18"/>
    <s v="Academic staff"/>
    <x v="8"/>
    <n v="14"/>
    <s v=""/>
    <s v="MATH4001Dummy, 09, 00000009"/>
    <n v="1"/>
    <s v="MATH4001Dummy, 09, 000000091"/>
    <n v="43"/>
    <n v="2.4927536231884058"/>
    <n v="0"/>
    <n v="0"/>
    <n v="0"/>
    <n v="0"/>
    <n v="43"/>
    <n v="2.4927536231884058"/>
    <n v="0"/>
    <n v="0"/>
  </r>
  <r>
    <x v="18"/>
    <s v="Academic staff"/>
    <x v="10"/>
    <n v="14"/>
    <s v=""/>
    <s v="MATH4001Dummy, 16, 00000016"/>
    <n v="1"/>
    <s v="MATH4001Dummy, 16, 000000161"/>
    <n v="21.5"/>
    <n v="1.2463768115942029"/>
    <n v="0"/>
    <n v="0"/>
    <n v="0"/>
    <n v="0"/>
    <n v="21.5"/>
    <n v="1.2463768115942029"/>
    <n v="0"/>
    <n v="0"/>
  </r>
  <r>
    <x v="19"/>
    <s v="Academic staff"/>
    <x v="16"/>
    <s v=""/>
    <s v=""/>
    <s v=""/>
    <n v="1"/>
    <s v="1"/>
    <n v="0"/>
    <n v="0"/>
    <n v="0"/>
    <n v="0"/>
    <n v="0"/>
    <n v="0"/>
    <n v="0"/>
    <n v="0"/>
    <n v="0"/>
    <n v="0"/>
  </r>
  <r>
    <x v="19"/>
    <s v="Academic staff"/>
    <x v="16"/>
    <s v=""/>
    <s v=""/>
    <s v=""/>
    <n v="2"/>
    <s v="2"/>
    <n v="0"/>
    <n v="0"/>
    <n v="0"/>
    <n v="0"/>
    <n v="0"/>
    <n v="0"/>
    <n v="0"/>
    <n v="0"/>
    <n v="0"/>
    <n v="0"/>
  </r>
  <r>
    <x v="19"/>
    <s v="Academic staff"/>
    <x v="16"/>
    <s v=""/>
    <s v=""/>
    <s v=""/>
    <n v="3"/>
    <s v="3"/>
    <n v="0"/>
    <n v="0"/>
    <n v="0"/>
    <n v="0"/>
    <n v="0"/>
    <n v="0"/>
    <n v="0"/>
    <n v="0"/>
    <n v="0"/>
    <n v="0"/>
  </r>
  <r>
    <x v="19"/>
    <s v="Academic staff"/>
    <x v="16"/>
    <s v=""/>
    <s v=""/>
    <s v=""/>
    <n v="4"/>
    <s v="4"/>
    <n v="0"/>
    <n v="0"/>
    <n v="0"/>
    <n v="0"/>
    <n v="0"/>
    <n v="0"/>
    <n v="0"/>
    <n v="0"/>
    <n v="0"/>
    <n v="0"/>
  </r>
  <r>
    <x v="19"/>
    <s v="Academic staff"/>
    <x v="16"/>
    <s v=""/>
    <s v=""/>
    <s v=""/>
    <n v="5"/>
    <s v="5"/>
    <n v="0"/>
    <n v="0"/>
    <n v="0"/>
    <n v="0"/>
    <n v="0"/>
    <n v="0"/>
    <n v="0"/>
    <n v="0"/>
    <n v="0"/>
    <n v="0"/>
  </r>
  <r>
    <x v="19"/>
    <s v="Academic staff"/>
    <x v="16"/>
    <s v=""/>
    <s v=""/>
    <s v=""/>
    <n v="6"/>
    <s v="6"/>
    <n v="0"/>
    <n v="0"/>
    <n v="0"/>
    <n v="0"/>
    <n v="0"/>
    <n v="0"/>
    <n v="0"/>
    <n v="0"/>
    <n v="0"/>
    <n v="0"/>
  </r>
  <r>
    <x v="19"/>
    <s v="Academic staff"/>
    <x v="16"/>
    <s v=""/>
    <s v=""/>
    <s v=""/>
    <n v="7"/>
    <s v="7"/>
    <n v="0"/>
    <n v="0"/>
    <n v="0"/>
    <n v="0"/>
    <n v="0"/>
    <n v="0"/>
    <n v="0"/>
    <n v="0"/>
    <n v="0"/>
    <n v="0"/>
  </r>
  <r>
    <x v="19"/>
    <s v="Academic staff"/>
    <x v="16"/>
    <s v=""/>
    <s v=""/>
    <s v=""/>
    <n v="8"/>
    <s v="8"/>
    <n v="0"/>
    <n v="0"/>
    <n v="0"/>
    <n v="0"/>
    <n v="0"/>
    <n v="0"/>
    <n v="0"/>
    <n v="0"/>
    <n v="0"/>
    <n v="0"/>
  </r>
  <r>
    <x v="19"/>
    <s v="Academic staff"/>
    <x v="16"/>
    <s v=""/>
    <s v=""/>
    <s v=""/>
    <n v="9"/>
    <s v="9"/>
    <n v="0"/>
    <n v="0"/>
    <n v="0"/>
    <n v="0"/>
    <n v="0"/>
    <n v="0"/>
    <n v="0"/>
    <n v="0"/>
    <n v="0"/>
    <n v="0"/>
  </r>
  <r>
    <x v="19"/>
    <s v="Academic staff"/>
    <x v="16"/>
    <s v=""/>
    <s v=""/>
    <s v=""/>
    <n v="10"/>
    <s v="10"/>
    <n v="0"/>
    <n v="0"/>
    <n v="0"/>
    <n v="0"/>
    <n v="0"/>
    <n v="0"/>
    <n v="0"/>
    <n v="0"/>
    <n v="0"/>
    <n v="0"/>
  </r>
  <r>
    <x v="19"/>
    <s v="Academic staff"/>
    <x v="16"/>
    <s v=""/>
    <s v=""/>
    <s v=""/>
    <n v="11"/>
    <s v="11"/>
    <n v="0"/>
    <n v="0"/>
    <n v="0"/>
    <n v="0"/>
    <n v="0"/>
    <n v="0"/>
    <n v="0"/>
    <n v="0"/>
    <n v="0"/>
    <n v="0"/>
  </r>
  <r>
    <x v="19"/>
    <s v="Academic staff"/>
    <x v="16"/>
    <s v=""/>
    <s v=""/>
    <s v=""/>
    <n v="12"/>
    <s v="12"/>
    <n v="0"/>
    <n v="0"/>
    <n v="0"/>
    <n v="0"/>
    <n v="0"/>
    <n v="0"/>
    <n v="0"/>
    <n v="0"/>
    <n v="0"/>
    <n v="0"/>
  </r>
  <r>
    <x v="19"/>
    <s v="Academic staff"/>
    <x v="16"/>
    <s v=""/>
    <s v=""/>
    <s v=""/>
    <n v="13"/>
    <s v="13"/>
    <n v="0"/>
    <n v="0"/>
    <n v="0"/>
    <n v="0"/>
    <n v="0"/>
    <n v="0"/>
    <n v="0"/>
    <n v="0"/>
    <n v="0"/>
    <n v="0"/>
  </r>
  <r>
    <x v="19"/>
    <s v="Academic staff"/>
    <x v="16"/>
    <s v=""/>
    <s v=""/>
    <s v=""/>
    <n v="14"/>
    <s v="14"/>
    <n v="0"/>
    <n v="0"/>
    <n v="0"/>
    <n v="0"/>
    <n v="0"/>
    <n v="0"/>
    <n v="0"/>
    <n v="0"/>
    <n v="0"/>
    <n v="0"/>
  </r>
  <r>
    <x v="19"/>
    <s v="Academic staff"/>
    <x v="16"/>
    <s v=""/>
    <s v=""/>
    <s v=""/>
    <n v="15"/>
    <s v="15"/>
    <n v="0"/>
    <n v="0"/>
    <n v="0"/>
    <n v="0"/>
    <n v="0"/>
    <n v="0"/>
    <n v="0"/>
    <n v="0"/>
    <n v="0"/>
    <n v="0"/>
  </r>
  <r>
    <x v="19"/>
    <s v="Academic staff"/>
    <x v="16"/>
    <s v=""/>
    <s v=""/>
    <s v=""/>
    <n v="16"/>
    <s v="16"/>
    <n v="0"/>
    <n v="0"/>
    <n v="0"/>
    <n v="0"/>
    <n v="0"/>
    <n v="0"/>
    <n v="0"/>
    <n v="0"/>
    <n v="0"/>
    <n v="0"/>
  </r>
  <r>
    <x v="19"/>
    <s v="Academic staff"/>
    <x v="16"/>
    <s v=""/>
    <s v=""/>
    <s v=""/>
    <n v="17"/>
    <s v="17"/>
    <n v="0"/>
    <n v="0"/>
    <n v="0"/>
    <n v="0"/>
    <n v="0"/>
    <n v="0"/>
    <n v="0"/>
    <n v="0"/>
    <n v="0"/>
    <n v="0"/>
  </r>
  <r>
    <x v="19"/>
    <s v="Academic staff"/>
    <x v="16"/>
    <s v=""/>
    <s v=""/>
    <s v=""/>
    <n v="18"/>
    <s v="18"/>
    <n v="0"/>
    <n v="0"/>
    <n v="0"/>
    <n v="0"/>
    <n v="0"/>
    <n v="0"/>
    <n v="0"/>
    <n v="0"/>
    <n v="0"/>
    <n v="0"/>
  </r>
  <r>
    <x v="19"/>
    <s v="Academic staff"/>
    <x v="16"/>
    <s v=""/>
    <s v=""/>
    <s v=""/>
    <n v="19"/>
    <s v="19"/>
    <n v="0"/>
    <n v="0"/>
    <n v="0"/>
    <n v="0"/>
    <n v="0"/>
    <n v="0"/>
    <n v="0"/>
    <n v="0"/>
    <n v="0"/>
    <n v="0"/>
  </r>
  <r>
    <x v="19"/>
    <s v="Academic staff"/>
    <x v="16"/>
    <s v=""/>
    <s v=""/>
    <s v=""/>
    <n v="20"/>
    <s v="20"/>
    <n v="0"/>
    <n v="0"/>
    <n v="0"/>
    <n v="0"/>
    <n v="0"/>
    <n v="0"/>
    <n v="0"/>
    <n v="0"/>
    <n v="0"/>
    <n v="0"/>
  </r>
  <r>
    <x v="19"/>
    <s v="Academic staff"/>
    <x v="16"/>
    <s v=""/>
    <s v=""/>
    <s v=""/>
    <n v="21"/>
    <s v="21"/>
    <n v="0"/>
    <n v="0"/>
    <n v="0"/>
    <n v="0"/>
    <n v="0"/>
    <n v="0"/>
    <n v="0"/>
    <n v="0"/>
    <n v="0"/>
    <n v="0"/>
  </r>
  <r>
    <x v="19"/>
    <s v="Academic staff"/>
    <x v="16"/>
    <s v=""/>
    <s v=""/>
    <s v=""/>
    <n v="22"/>
    <s v="22"/>
    <n v="0"/>
    <n v="0"/>
    <n v="0"/>
    <n v="0"/>
    <n v="0"/>
    <n v="0"/>
    <n v="0"/>
    <n v="0"/>
    <n v="0"/>
    <n v="0"/>
  </r>
  <r>
    <x v="19"/>
    <s v="Academic staff"/>
    <x v="16"/>
    <s v=""/>
    <s v=""/>
    <s v=""/>
    <n v="23"/>
    <s v="23"/>
    <n v="0"/>
    <n v="0"/>
    <n v="0"/>
    <n v="0"/>
    <n v="0"/>
    <n v="0"/>
    <n v="0"/>
    <n v="0"/>
    <n v="0"/>
    <n v="0"/>
  </r>
  <r>
    <x v="19"/>
    <s v="Academic staff"/>
    <x v="16"/>
    <s v=""/>
    <s v=""/>
    <s v=""/>
    <n v="24"/>
    <s v="24"/>
    <n v="0"/>
    <n v="0"/>
    <n v="0"/>
    <n v="0"/>
    <n v="0"/>
    <n v="0"/>
    <n v="0"/>
    <n v="0"/>
    <n v="0"/>
    <n v="0"/>
  </r>
  <r>
    <x v="19"/>
    <s v="Academic staff"/>
    <x v="16"/>
    <s v=""/>
    <s v=""/>
    <s v=""/>
    <n v="25"/>
    <s v="25"/>
    <n v="0"/>
    <n v="0"/>
    <n v="0"/>
    <n v="0"/>
    <n v="0"/>
    <n v="0"/>
    <n v="0"/>
    <n v="0"/>
    <n v="0"/>
    <n v="0"/>
  </r>
  <r>
    <x v="19"/>
    <s v="Academic staff"/>
    <x v="16"/>
    <s v=""/>
    <s v=""/>
    <s v=""/>
    <n v="26"/>
    <s v="26"/>
    <n v="0"/>
    <n v="0"/>
    <n v="0"/>
    <n v="0"/>
    <n v="0"/>
    <n v="0"/>
    <n v="0"/>
    <n v="0"/>
    <n v="0"/>
    <n v="0"/>
  </r>
  <r>
    <x v="19"/>
    <s v="Academic staff"/>
    <x v="16"/>
    <s v=""/>
    <s v=""/>
    <s v=""/>
    <n v="27"/>
    <s v="27"/>
    <n v="0"/>
    <n v="0"/>
    <n v="0"/>
    <n v="0"/>
    <n v="0"/>
    <n v="0"/>
    <n v="0"/>
    <n v="0"/>
    <n v="0"/>
    <n v="0"/>
  </r>
  <r>
    <x v="19"/>
    <s v="Academic staff"/>
    <x v="16"/>
    <s v=""/>
    <s v=""/>
    <s v=""/>
    <n v="28"/>
    <s v="28"/>
    <n v="0"/>
    <n v="0"/>
    <n v="0"/>
    <n v="0"/>
    <n v="0"/>
    <n v="0"/>
    <n v="0"/>
    <n v="0"/>
    <n v="0"/>
    <n v="0"/>
  </r>
  <r>
    <x v="19"/>
    <s v="Academic staff"/>
    <x v="16"/>
    <s v=""/>
    <s v=""/>
    <s v=""/>
    <n v="29"/>
    <s v="29"/>
    <n v="0"/>
    <n v="0"/>
    <n v="0"/>
    <n v="0"/>
    <n v="0"/>
    <n v="0"/>
    <n v="0"/>
    <n v="0"/>
    <n v="0"/>
    <n v="0"/>
  </r>
  <r>
    <x v="19"/>
    <s v="Academic staff"/>
    <x v="16"/>
    <s v=""/>
    <s v=""/>
    <s v=""/>
    <n v="30"/>
    <s v="30"/>
    <n v="0"/>
    <n v="0"/>
    <n v="0"/>
    <n v="0"/>
    <n v="0"/>
    <n v="0"/>
    <n v="0"/>
    <n v="0"/>
    <n v="0"/>
    <n v="0"/>
  </r>
  <r>
    <x v="19"/>
    <s v="Academic staff"/>
    <x v="16"/>
    <s v=""/>
    <s v=""/>
    <s v=""/>
    <n v="31"/>
    <s v="31"/>
    <n v="0"/>
    <n v="0"/>
    <n v="0"/>
    <n v="0"/>
    <n v="0"/>
    <n v="0"/>
    <n v="0"/>
    <n v="0"/>
    <n v="0"/>
    <n v="0"/>
  </r>
  <r>
    <x v="19"/>
    <m/>
    <x v="16"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n v="1"/>
    <n v="10"/>
    <n v="50"/>
    <x v="0"/>
    <x v="0"/>
    <x v="0"/>
    <x v="0"/>
    <x v="0"/>
    <x v="0"/>
    <x v="0"/>
    <x v="0"/>
    <x v="0"/>
    <x v="0"/>
    <x v="0"/>
    <x v="0"/>
  </r>
  <r>
    <x v="1"/>
    <n v="0.92"/>
    <n v="9.2000000000000011"/>
    <n v="0"/>
    <x v="1"/>
    <x v="1"/>
    <x v="0"/>
    <x v="0"/>
    <x v="0"/>
    <x v="0"/>
    <x v="0"/>
    <x v="0"/>
    <x v="0"/>
    <x v="0"/>
    <x v="0"/>
    <x v="0"/>
  </r>
  <r>
    <x v="2"/>
    <n v="0.92"/>
    <n v="9.2000000000000011"/>
    <n v="0"/>
    <x v="1"/>
    <x v="1"/>
    <x v="0"/>
    <x v="0"/>
    <x v="0"/>
    <x v="0"/>
    <x v="0"/>
    <x v="0"/>
    <x v="0"/>
    <x v="0"/>
    <x v="0"/>
    <x v="0"/>
  </r>
  <r>
    <x v="3"/>
    <n v="1"/>
    <n v="10"/>
    <n v="15.014492753623188"/>
    <x v="2"/>
    <x v="2"/>
    <x v="0"/>
    <x v="0"/>
    <x v="0"/>
    <x v="0"/>
    <x v="0"/>
    <x v="0"/>
    <x v="0"/>
    <x v="0"/>
    <x v="0"/>
    <x v="0"/>
  </r>
  <r>
    <x v="4"/>
    <n v="1"/>
    <n v="10"/>
    <n v="0"/>
    <x v="1"/>
    <x v="1"/>
    <x v="0"/>
    <x v="0"/>
    <x v="0"/>
    <x v="0"/>
    <x v="0"/>
    <x v="0"/>
    <x v="0"/>
    <x v="0"/>
    <x v="0"/>
    <x v="0"/>
  </r>
  <r>
    <x v="5"/>
    <n v="1"/>
    <n v="10"/>
    <n v="0"/>
    <x v="1"/>
    <x v="1"/>
    <x v="0"/>
    <x v="0"/>
    <x v="0"/>
    <x v="0"/>
    <x v="0"/>
    <x v="0"/>
    <x v="0"/>
    <x v="0"/>
    <x v="0"/>
    <x v="0"/>
  </r>
  <r>
    <x v="6"/>
    <n v="1"/>
    <n v="10"/>
    <n v="0"/>
    <x v="1"/>
    <x v="1"/>
    <x v="0"/>
    <x v="0"/>
    <x v="0"/>
    <x v="0"/>
    <x v="0"/>
    <x v="0"/>
    <x v="0"/>
    <x v="0"/>
    <x v="0"/>
    <x v="0"/>
  </r>
  <r>
    <x v="7"/>
    <n v="1"/>
    <n v="10"/>
    <n v="0"/>
    <x v="1"/>
    <x v="1"/>
    <x v="0"/>
    <x v="0"/>
    <x v="0"/>
    <x v="0"/>
    <x v="0"/>
    <x v="0"/>
    <x v="0"/>
    <x v="0"/>
    <x v="0"/>
    <x v="0"/>
  </r>
  <r>
    <x v="8"/>
    <n v="1"/>
    <n v="10"/>
    <n v="59.072463768115938"/>
    <x v="3"/>
    <x v="3"/>
    <x v="1"/>
    <x v="1"/>
    <x v="1"/>
    <x v="1"/>
    <x v="0"/>
    <x v="0"/>
    <x v="0"/>
    <x v="0"/>
    <x v="0"/>
    <x v="0"/>
  </r>
  <r>
    <x v="9"/>
    <n v="1"/>
    <n v="10"/>
    <n v="0"/>
    <x v="1"/>
    <x v="1"/>
    <x v="0"/>
    <x v="0"/>
    <x v="0"/>
    <x v="0"/>
    <x v="0"/>
    <x v="0"/>
    <x v="0"/>
    <x v="0"/>
    <x v="0"/>
    <x v="0"/>
  </r>
  <r>
    <x v="10"/>
    <n v="1"/>
    <n v="10"/>
    <n v="8.1159420289855078"/>
    <x v="4"/>
    <x v="4"/>
    <x v="0"/>
    <x v="0"/>
    <x v="0"/>
    <x v="0"/>
    <x v="0"/>
    <x v="0"/>
    <x v="0"/>
    <x v="0"/>
    <x v="0"/>
    <x v="0"/>
  </r>
  <r>
    <x v="11"/>
    <n v="1"/>
    <n v="10"/>
    <n v="10.028985507246377"/>
    <x v="5"/>
    <x v="5"/>
    <x v="0"/>
    <x v="0"/>
    <x v="0"/>
    <x v="0"/>
    <x v="0"/>
    <x v="0"/>
    <x v="0"/>
    <x v="0"/>
    <x v="0"/>
    <x v="0"/>
  </r>
  <r>
    <x v="12"/>
    <n v="1"/>
    <n v="10"/>
    <n v="6.666666666666667"/>
    <x v="6"/>
    <x v="6"/>
    <x v="2"/>
    <x v="2"/>
    <x v="0"/>
    <x v="0"/>
    <x v="0"/>
    <x v="0"/>
    <x v="0"/>
    <x v="0"/>
    <x v="0"/>
    <x v="0"/>
  </r>
  <r>
    <x v="13"/>
    <n v="1"/>
    <n v="10"/>
    <n v="0"/>
    <x v="1"/>
    <x v="1"/>
    <x v="0"/>
    <x v="0"/>
    <x v="0"/>
    <x v="0"/>
    <x v="0"/>
    <x v="0"/>
    <x v="0"/>
    <x v="0"/>
    <x v="0"/>
    <x v="0"/>
  </r>
  <r>
    <x v="14"/>
    <n v="1"/>
    <n v="10"/>
    <n v="0"/>
    <x v="1"/>
    <x v="1"/>
    <x v="0"/>
    <x v="0"/>
    <x v="0"/>
    <x v="0"/>
    <x v="0"/>
    <x v="0"/>
    <x v="0"/>
    <x v="0"/>
    <x v="0"/>
    <x v="0"/>
  </r>
  <r>
    <x v="15"/>
    <n v="0.96"/>
    <n v="9.6"/>
    <n v="12.173913043478262"/>
    <x v="7"/>
    <x v="7"/>
    <x v="3"/>
    <x v="3"/>
    <x v="0"/>
    <x v="0"/>
    <x v="0"/>
    <x v="0"/>
    <x v="0"/>
    <x v="0"/>
    <x v="0"/>
    <x v="0"/>
  </r>
  <r>
    <x v="16"/>
    <n v="0.8"/>
    <n v="8"/>
    <n v="10.028985507246377"/>
    <x v="8"/>
    <x v="5"/>
    <x v="0"/>
    <x v="0"/>
    <x v="0"/>
    <x v="0"/>
    <x v="0"/>
    <x v="0"/>
    <x v="0"/>
    <x v="0"/>
    <x v="0"/>
    <x v="0"/>
  </r>
  <r>
    <x v="17"/>
    <n v="1"/>
    <n v="10"/>
    <n v="0"/>
    <x v="1"/>
    <x v="1"/>
    <x v="0"/>
    <x v="0"/>
    <x v="0"/>
    <x v="0"/>
    <x v="0"/>
    <x v="0"/>
    <x v="0"/>
    <x v="0"/>
    <x v="0"/>
    <x v="0"/>
  </r>
  <r>
    <x v="18"/>
    <n v="0"/>
    <n v="0"/>
    <n v="1.6666666666666667"/>
    <x v="9"/>
    <x v="8"/>
    <x v="0"/>
    <x v="0"/>
    <x v="0"/>
    <x v="0"/>
    <x v="0"/>
    <x v="0"/>
    <x v="0"/>
    <x v="0"/>
    <x v="0"/>
    <x v="0"/>
  </r>
  <r>
    <x v="19"/>
    <s v=""/>
    <s v=""/>
    <n v="0"/>
    <x v="1"/>
    <x v="1"/>
    <x v="0"/>
    <x v="0"/>
    <x v="0"/>
    <x v="0"/>
    <x v="0"/>
    <x v="0"/>
    <x v="0"/>
    <x v="0"/>
    <x v="0"/>
    <x v="0"/>
  </r>
  <r>
    <x v="19"/>
    <s v=""/>
    <s v=""/>
    <n v="10.028985507246377"/>
    <x v="10"/>
    <x v="5"/>
    <x v="0"/>
    <x v="0"/>
    <x v="0"/>
    <x v="0"/>
    <x v="0"/>
    <x v="0"/>
    <x v="0"/>
    <x v="0"/>
    <x v="0"/>
    <x v="0"/>
  </r>
  <r>
    <x v="19"/>
    <s v=""/>
    <s v=""/>
    <n v="0"/>
    <x v="1"/>
    <x v="1"/>
    <x v="0"/>
    <x v="0"/>
    <x v="0"/>
    <x v="0"/>
    <x v="0"/>
    <x v="0"/>
    <x v="0"/>
    <x v="0"/>
    <x v="0"/>
    <x v="0"/>
  </r>
  <r>
    <x v="19"/>
    <s v=""/>
    <s v=""/>
    <n v="0"/>
    <x v="1"/>
    <x v="1"/>
    <x v="0"/>
    <x v="0"/>
    <x v="0"/>
    <x v="0"/>
    <x v="0"/>
    <x v="0"/>
    <x v="0"/>
    <x v="0"/>
    <x v="0"/>
    <x v="0"/>
  </r>
  <r>
    <x v="19"/>
    <s v=""/>
    <s v=""/>
    <n v="40"/>
    <x v="11"/>
    <x v="3"/>
    <x v="0"/>
    <x v="0"/>
    <x v="0"/>
    <x v="0"/>
    <x v="0"/>
    <x v="0"/>
    <x v="0"/>
    <x v="0"/>
    <x v="0"/>
    <x v="0"/>
  </r>
  <r>
    <x v="19"/>
    <s v=""/>
    <s v=""/>
    <n v="10.028985507246377"/>
    <x v="12"/>
    <x v="5"/>
    <x v="0"/>
    <x v="0"/>
    <x v="0"/>
    <x v="0"/>
    <x v="0"/>
    <x v="0"/>
    <x v="0"/>
    <x v="0"/>
    <x v="0"/>
    <x v="0"/>
  </r>
  <r>
    <x v="19"/>
    <s v=""/>
    <s v=""/>
    <n v="0"/>
    <x v="1"/>
    <x v="1"/>
    <x v="0"/>
    <x v="0"/>
    <x v="0"/>
    <x v="0"/>
    <x v="0"/>
    <x v="0"/>
    <x v="0"/>
    <x v="0"/>
    <x v="0"/>
    <x v="0"/>
  </r>
  <r>
    <x v="19"/>
    <s v=""/>
    <s v=""/>
    <n v="24.405797101449277"/>
    <x v="13"/>
    <x v="9"/>
    <x v="4"/>
    <x v="4"/>
    <x v="2"/>
    <x v="2"/>
    <x v="1"/>
    <x v="1"/>
    <x v="0"/>
    <x v="0"/>
    <x v="0"/>
    <x v="0"/>
  </r>
  <r>
    <x v="19"/>
    <s v=""/>
    <s v=""/>
    <n v="0"/>
    <x v="1"/>
    <x v="1"/>
    <x v="0"/>
    <x v="0"/>
    <x v="0"/>
    <x v="0"/>
    <x v="0"/>
    <x v="0"/>
    <x v="0"/>
    <x v="0"/>
    <x v="0"/>
    <x v="0"/>
  </r>
  <r>
    <x v="19"/>
    <s v=""/>
    <s v=""/>
    <n v="0"/>
    <x v="1"/>
    <x v="1"/>
    <x v="0"/>
    <x v="0"/>
    <x v="0"/>
    <x v="0"/>
    <x v="0"/>
    <x v="0"/>
    <x v="0"/>
    <x v="0"/>
    <x v="0"/>
    <x v="0"/>
  </r>
  <r>
    <x v="19"/>
    <s v=""/>
    <s v=""/>
    <n v="0"/>
    <x v="1"/>
    <x v="1"/>
    <x v="0"/>
    <x v="0"/>
    <x v="0"/>
    <x v="0"/>
    <x v="0"/>
    <x v="0"/>
    <x v="0"/>
    <x v="0"/>
    <x v="0"/>
    <x v="0"/>
  </r>
  <r>
    <x v="19"/>
    <s v=""/>
    <s v=""/>
    <n v="4.63768115942029"/>
    <x v="14"/>
    <x v="10"/>
    <x v="0"/>
    <x v="0"/>
    <x v="0"/>
    <x v="0"/>
    <x v="0"/>
    <x v="0"/>
    <x v="0"/>
    <x v="0"/>
    <x v="0"/>
    <x v="0"/>
  </r>
  <r>
    <x v="20"/>
    <n v="0"/>
    <n v="0"/>
    <n v="10.028985507246377"/>
    <x v="15"/>
    <x v="5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39.246376811594203"/>
    <x v="16"/>
    <x v="2"/>
    <x v="5"/>
    <x v="5"/>
    <x v="2"/>
    <x v="2"/>
    <x v="2"/>
    <x v="1"/>
    <x v="1"/>
    <x v="1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1.6666666666666667"/>
    <x v="9"/>
    <x v="8"/>
    <x v="0"/>
    <x v="0"/>
    <x v="0"/>
    <x v="0"/>
    <x v="0"/>
    <x v="0"/>
    <x v="0"/>
    <x v="0"/>
    <x v="0"/>
    <x v="0"/>
  </r>
  <r>
    <x v="20"/>
    <n v="0"/>
    <n v="0"/>
    <n v="16.231884057971016"/>
    <x v="17"/>
    <x v="11"/>
    <x v="6"/>
    <x v="6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4.0579710144927539"/>
    <x v="18"/>
    <x v="7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4.0579710144927539"/>
    <x v="19"/>
    <x v="7"/>
    <x v="0"/>
    <x v="0"/>
    <x v="0"/>
    <x v="0"/>
    <x v="0"/>
    <x v="0"/>
    <x v="0"/>
    <x v="0"/>
    <x v="0"/>
    <x v="0"/>
  </r>
  <r>
    <x v="20"/>
    <n v="0"/>
    <n v="0"/>
    <n v="51.869565217391312"/>
    <x v="9"/>
    <x v="8"/>
    <x v="7"/>
    <x v="7"/>
    <x v="3"/>
    <x v="3"/>
    <x v="3"/>
    <x v="2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7.8"/>
    <x v="20"/>
    <x v="12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3.4782608695652173"/>
    <x v="21"/>
    <x v="13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18.333333333333336"/>
    <x v="9"/>
    <x v="8"/>
    <x v="8"/>
    <x v="8"/>
    <x v="4"/>
    <x v="4"/>
    <x v="4"/>
    <x v="3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70"/>
    <x v="22"/>
    <x v="14"/>
    <x v="0"/>
    <x v="0"/>
    <x v="0"/>
    <x v="0"/>
    <x v="0"/>
    <x v="0"/>
    <x v="0"/>
    <x v="0"/>
    <x v="0"/>
    <x v="0"/>
  </r>
  <r>
    <x v="20"/>
    <n v="0"/>
    <n v="0"/>
    <n v="12.985507246376812"/>
    <x v="23"/>
    <x v="15"/>
    <x v="9"/>
    <x v="9"/>
    <x v="5"/>
    <x v="5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1.1594202898550725"/>
    <x v="24"/>
    <x v="16"/>
    <x v="0"/>
    <x v="0"/>
    <x v="0"/>
    <x v="0"/>
    <x v="0"/>
    <x v="0"/>
    <x v="0"/>
    <x v="0"/>
    <x v="0"/>
    <x v="0"/>
  </r>
  <r>
    <x v="20"/>
    <n v="0"/>
    <n v="0"/>
    <n v="1.6666666666666667"/>
    <x v="9"/>
    <x v="8"/>
    <x v="0"/>
    <x v="0"/>
    <x v="0"/>
    <x v="0"/>
    <x v="0"/>
    <x v="0"/>
    <x v="0"/>
    <x v="0"/>
    <x v="0"/>
    <x v="0"/>
  </r>
  <r>
    <x v="20"/>
    <n v="0"/>
    <n v="0"/>
    <n v="4.9855072463768115"/>
    <x v="25"/>
    <x v="17"/>
    <x v="0"/>
    <x v="0"/>
    <x v="0"/>
    <x v="0"/>
    <x v="0"/>
    <x v="0"/>
    <x v="0"/>
    <x v="0"/>
    <x v="0"/>
    <x v="0"/>
  </r>
  <r>
    <x v="20"/>
    <n v="0"/>
    <n v="0"/>
    <n v="2"/>
    <x v="26"/>
    <x v="18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15.014492753623188"/>
    <x v="12"/>
    <x v="5"/>
    <x v="10"/>
    <x v="9"/>
    <x v="0"/>
    <x v="0"/>
    <x v="0"/>
    <x v="0"/>
    <x v="0"/>
    <x v="0"/>
    <x v="0"/>
    <x v="0"/>
  </r>
  <r>
    <x v="20"/>
    <n v="0"/>
    <n v="0"/>
    <n v="10"/>
    <x v="27"/>
    <x v="19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10"/>
    <x v="28"/>
    <x v="19"/>
    <x v="0"/>
    <x v="0"/>
    <x v="0"/>
    <x v="0"/>
    <x v="0"/>
    <x v="0"/>
    <x v="0"/>
    <x v="0"/>
    <x v="0"/>
    <x v="0"/>
  </r>
  <r>
    <x v="20"/>
    <n v="0"/>
    <n v="0"/>
    <n v="50.028985507246375"/>
    <x v="29"/>
    <x v="3"/>
    <x v="11"/>
    <x v="5"/>
    <x v="0"/>
    <x v="0"/>
    <x v="0"/>
    <x v="0"/>
    <x v="0"/>
    <x v="0"/>
    <x v="0"/>
    <x v="0"/>
  </r>
  <r>
    <x v="20"/>
    <n v="0"/>
    <n v="0"/>
    <n v="4.9855072463768115"/>
    <x v="30"/>
    <x v="17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3.4782608695652173"/>
    <x v="21"/>
    <x v="13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16.057971014492754"/>
    <x v="31"/>
    <x v="20"/>
    <x v="12"/>
    <x v="5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2"/>
    <x v="26"/>
    <x v="18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12.231884057971016"/>
    <x v="32"/>
    <x v="5"/>
    <x v="13"/>
    <x v="10"/>
    <x v="0"/>
    <x v="0"/>
    <x v="0"/>
    <x v="0"/>
    <x v="0"/>
    <x v="0"/>
    <x v="0"/>
    <x v="0"/>
  </r>
  <r>
    <x v="20"/>
    <n v="0"/>
    <n v="0"/>
    <n v="12.173913043478262"/>
    <x v="33"/>
    <x v="17"/>
    <x v="13"/>
    <x v="10"/>
    <x v="6"/>
    <x v="5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1"/>
    <x v="0"/>
    <x v="0"/>
    <x v="0"/>
    <x v="0"/>
    <x v="0"/>
    <x v="0"/>
    <x v="0"/>
    <x v="0"/>
    <x v="0"/>
    <x v="0"/>
  </r>
  <r>
    <x v="20"/>
    <n v="0"/>
    <n v="0"/>
    <n v="0"/>
    <x v="1"/>
    <x v="21"/>
    <x v="0"/>
    <x v="11"/>
    <x v="0"/>
    <x v="6"/>
    <x v="0"/>
    <x v="4"/>
    <x v="0"/>
    <x v="2"/>
    <x v="0"/>
    <x v="1"/>
  </r>
  <r>
    <x v="20"/>
    <n v="0"/>
    <n v="0"/>
    <n v="0"/>
    <x v="1"/>
    <x v="21"/>
    <x v="0"/>
    <x v="11"/>
    <x v="0"/>
    <x v="6"/>
    <x v="0"/>
    <x v="4"/>
    <x v="0"/>
    <x v="2"/>
    <x v="0"/>
    <x v="1"/>
  </r>
  <r>
    <x v="20"/>
    <n v="0"/>
    <n v="0"/>
    <n v="0"/>
    <x v="1"/>
    <x v="21"/>
    <x v="0"/>
    <x v="11"/>
    <x v="0"/>
    <x v="6"/>
    <x v="0"/>
    <x v="4"/>
    <x v="0"/>
    <x v="2"/>
    <x v="0"/>
    <x v="1"/>
  </r>
  <r>
    <x v="20"/>
    <n v="0"/>
    <n v="0"/>
    <n v="0"/>
    <x v="1"/>
    <x v="21"/>
    <x v="0"/>
    <x v="11"/>
    <x v="0"/>
    <x v="6"/>
    <x v="0"/>
    <x v="4"/>
    <x v="0"/>
    <x v="2"/>
    <x v="0"/>
    <x v="1"/>
  </r>
  <r>
    <x v="20"/>
    <n v="0"/>
    <n v="0"/>
    <n v="0"/>
    <x v="1"/>
    <x v="21"/>
    <x v="0"/>
    <x v="11"/>
    <x v="0"/>
    <x v="6"/>
    <x v="0"/>
    <x v="4"/>
    <x v="0"/>
    <x v="2"/>
    <x v="0"/>
    <x v="1"/>
  </r>
  <r>
    <x v="20"/>
    <n v="0"/>
    <n v="0"/>
    <n v="0"/>
    <x v="1"/>
    <x v="21"/>
    <x v="0"/>
    <x v="11"/>
    <x v="0"/>
    <x v="6"/>
    <x v="0"/>
    <x v="4"/>
    <x v="0"/>
    <x v="2"/>
    <x v="0"/>
    <x v="1"/>
  </r>
  <r>
    <x v="20"/>
    <n v="0"/>
    <n v="0"/>
    <n v="0"/>
    <x v="1"/>
    <x v="21"/>
    <x v="0"/>
    <x v="11"/>
    <x v="0"/>
    <x v="6"/>
    <x v="0"/>
    <x v="4"/>
    <x v="0"/>
    <x v="2"/>
    <x v="0"/>
    <x v="1"/>
  </r>
  <r>
    <x v="20"/>
    <m/>
    <m/>
    <m/>
    <x v="1"/>
    <x v="21"/>
    <x v="0"/>
    <x v="11"/>
    <x v="0"/>
    <x v="6"/>
    <x v="0"/>
    <x v="4"/>
    <x v="0"/>
    <x v="2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01214E-1330-4124-9A1A-B151C7E7DFCD}" name="PivotTable1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A2:AB21" firstHeaderRow="1" firstDataRow="1" firstDataCol="1"/>
  <pivotFields count="7">
    <pivotField axis="axisRow" showAll="0" sortType="ascending">
      <items count="20">
        <item m="1"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HDR Supervision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169932-3CEE-4F2E-9D1A-6B42B162B087}" name="PivotTable6" cacheId="132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outline="1" outlineData="1" compactData="0" multipleFieldFilters="0">
  <location ref="W2:Y24" firstHeaderRow="0" firstDataRow="1" firstDataCol="1"/>
  <pivotFields count="4">
    <pivotField axis="axisRow" compact="0" showAll="0" sortType="ascending">
      <items count="22">
        <item x="19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20"/>
        <item t="default"/>
      </items>
    </pivotField>
    <pivotField compact="0" showAll="0"/>
    <pivotField dataField="1" compact="0" showAll="0"/>
    <pivotField dataField="1" compact="0" showAll="0"/>
  </pivotFields>
  <rowFields count="1"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elf-Directed Service" fld="2" baseField="1" baseItem="2"/>
    <dataField name="Assigned Roles - Total" fld="3" baseField="1" baseItem="2"/>
  </dataFields>
  <formats count="6"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0" type="button" dataOnly="0" labelOnly="1" outline="0" axis="axisRow" fieldPosition="0"/>
    </format>
    <format dxfId="99">
      <pivotArea dataOnly="0" labelOnly="1" outline="0" fieldPosition="0">
        <references count="1">
          <reference field="0" count="0"/>
        </references>
      </pivotArea>
    </format>
    <format dxfId="98">
      <pivotArea dataOnly="0" labelOnly="1" grandRow="1" outline="0" fieldPosition="0"/>
    </format>
    <format dxfId="9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4035F1-48D0-4B04-97B6-1BC66FC1B2E5}" name="PivotTable5" cacheId="153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outline="1" outlineData="1" compactData="0" multipleFieldFilters="0">
  <location ref="O2:U55" firstHeaderRow="0" firstDataRow="1" firstDataCol="2"/>
  <pivotFields count="19">
    <pivotField axis="axisRow" compact="0" showAll="0" sortType="ascending">
      <items count="21">
        <item x="1"/>
        <item x="0"/>
        <item x="2"/>
        <item x="3"/>
        <item x="15"/>
        <item x="16"/>
        <item x="17"/>
        <item x="4"/>
        <item x="5"/>
        <item x="6"/>
        <item x="18"/>
        <item x="7"/>
        <item x="8"/>
        <item x="9"/>
        <item x="10"/>
        <item x="11"/>
        <item x="12"/>
        <item x="13"/>
        <item x="14"/>
        <item x="19"/>
        <item t="default"/>
      </items>
    </pivotField>
    <pivotField compact="0" showAll="0"/>
    <pivotField axis="axisRow" compact="0" showAll="0">
      <items count="18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dataField="1" compact="0" showAll="0"/>
    <pivotField compact="0" dragToRow="0" dragToCol="0" dragToPage="0" showAll="0" defaultSubtotal="0"/>
  </pivotFields>
  <rowFields count="2">
    <field x="2"/>
    <field x="0"/>
  </rowFields>
  <rowItems count="53">
    <i>
      <x/>
    </i>
    <i r="1">
      <x v="19"/>
    </i>
    <i>
      <x v="1"/>
    </i>
    <i r="1">
      <x/>
    </i>
    <i r="1">
      <x v="1"/>
    </i>
    <i>
      <x v="2"/>
    </i>
    <i r="1">
      <x v="2"/>
    </i>
    <i r="1">
      <x v="4"/>
    </i>
    <i r="1">
      <x v="5"/>
    </i>
    <i>
      <x v="3"/>
    </i>
    <i r="1">
      <x v="3"/>
    </i>
    <i r="1">
      <x v="5"/>
    </i>
    <i>
      <x v="4"/>
    </i>
    <i r="1">
      <x v="5"/>
    </i>
    <i r="1">
      <x v="6"/>
    </i>
    <i r="1">
      <x v="7"/>
    </i>
    <i r="1">
      <x v="8"/>
    </i>
    <i>
      <x v="5"/>
    </i>
    <i r="1">
      <x v="7"/>
    </i>
    <i>
      <x v="6"/>
    </i>
    <i r="1">
      <x v="7"/>
    </i>
    <i>
      <x v="7"/>
    </i>
    <i r="1">
      <x v="6"/>
    </i>
    <i r="1">
      <x v="8"/>
    </i>
    <i r="1">
      <x v="9"/>
    </i>
    <i r="1">
      <x v="10"/>
    </i>
    <i r="1">
      <x v="11"/>
    </i>
    <i>
      <x v="8"/>
    </i>
    <i r="1">
      <x v="8"/>
    </i>
    <i r="1">
      <x v="12"/>
    </i>
    <i>
      <x v="9"/>
    </i>
    <i r="1">
      <x v="9"/>
    </i>
    <i r="1">
      <x v="10"/>
    </i>
    <i>
      <x v="10"/>
    </i>
    <i r="1">
      <x v="11"/>
    </i>
    <i r="1">
      <x v="18"/>
    </i>
    <i>
      <x v="11"/>
    </i>
    <i r="1">
      <x v="10"/>
    </i>
    <i r="1">
      <x v="11"/>
    </i>
    <i r="1">
      <x v="17"/>
    </i>
    <i>
      <x v="12"/>
    </i>
    <i r="1">
      <x v="12"/>
    </i>
    <i>
      <x v="13"/>
    </i>
    <i r="1">
      <x v="13"/>
    </i>
    <i r="1">
      <x v="15"/>
    </i>
    <i>
      <x v="14"/>
    </i>
    <i r="1">
      <x v="13"/>
    </i>
    <i r="1">
      <x v="16"/>
    </i>
    <i>
      <x v="15"/>
    </i>
    <i r="1">
      <x v="14"/>
    </i>
    <i>
      <x v="16"/>
    </i>
    <i r="1">
      <x v="1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tal Teaching Workload" fld="9" baseField="3" baseItem="0"/>
    <dataField name="Unit Coordinatation" fld="11" baseField="3" baseItem="0"/>
    <dataField name="Teaching Activities" fld="13" baseField="3" baseItem="0"/>
    <dataField name="Unit Supervision Activities" fld="15" baseField="3" baseItem="0"/>
    <dataField name="New Unit Development" fld="17" baseField="3" baseItem="0"/>
  </dataFields>
  <formats count="6">
    <format dxfId="108">
      <pivotArea type="all" dataOnly="0" outline="0" fieldPosition="0"/>
    </format>
    <format dxfId="107">
      <pivotArea outline="0" collapsedLevelsAreSubtotals="1" fieldPosition="0"/>
    </format>
    <format dxfId="106">
      <pivotArea field="0" type="button" dataOnly="0" labelOnly="1" outline="0" axis="axisRow" fieldPosition="1"/>
    </format>
    <format dxfId="105">
      <pivotArea field="2" type="button" dataOnly="0" labelOnly="1" outline="0" axis="axisRow" fieldPosition="0"/>
    </format>
    <format dxfId="104">
      <pivotArea dataOnly="0" labelOnly="1" grandRow="1" outline="0" fieldPosition="0"/>
    </format>
    <format dxfId="10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355FA6-5C04-4999-B9DC-76509B3534A8}" name="PivotTable4" cacheId="153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outline="1" outlineData="1" compactData="0" multipleFieldFilters="0">
  <location ref="P3:S59" firstHeaderRow="0" firstDataRow="1" firstDataCol="2"/>
  <pivotFields count="19">
    <pivotField axis="axisRow" compact="0" showAll="0" sortType="ascending">
      <items count="21">
        <item x="1"/>
        <item x="0"/>
        <item x="2"/>
        <item x="3"/>
        <item x="15"/>
        <item x="16"/>
        <item x="17"/>
        <item x="4"/>
        <item x="5"/>
        <item x="6"/>
        <item x="18"/>
        <item x="7"/>
        <item x="8"/>
        <item x="9"/>
        <item x="10"/>
        <item x="11"/>
        <item x="12"/>
        <item x="13"/>
        <item x="14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8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2"/>
  </rowFields>
  <rowItems count="56">
    <i>
      <x/>
    </i>
    <i r="1">
      <x v="1"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2"/>
    </i>
    <i>
      <x v="5"/>
    </i>
    <i r="1">
      <x v="2"/>
    </i>
    <i r="1">
      <x v="3"/>
    </i>
    <i r="1">
      <x v="4"/>
    </i>
    <i>
      <x v="6"/>
    </i>
    <i r="1">
      <x v="4"/>
    </i>
    <i r="1">
      <x v="7"/>
    </i>
    <i>
      <x v="7"/>
    </i>
    <i r="1">
      <x v="4"/>
    </i>
    <i r="1">
      <x v="5"/>
    </i>
    <i r="1">
      <x v="6"/>
    </i>
    <i>
      <x v="8"/>
    </i>
    <i r="1">
      <x v="4"/>
    </i>
    <i r="1">
      <x v="7"/>
    </i>
    <i r="1">
      <x v="8"/>
    </i>
    <i>
      <x v="9"/>
    </i>
    <i r="1">
      <x v="7"/>
    </i>
    <i r="1">
      <x v="9"/>
    </i>
    <i>
      <x v="10"/>
    </i>
    <i r="1">
      <x v="7"/>
    </i>
    <i r="1">
      <x v="9"/>
    </i>
    <i r="1">
      <x v="11"/>
    </i>
    <i>
      <x v="11"/>
    </i>
    <i r="1">
      <x v="7"/>
    </i>
    <i r="1">
      <x v="10"/>
    </i>
    <i r="1">
      <x v="11"/>
    </i>
    <i>
      <x v="12"/>
    </i>
    <i r="1">
      <x v="8"/>
    </i>
    <i r="1">
      <x v="12"/>
    </i>
    <i>
      <x v="13"/>
    </i>
    <i r="1">
      <x v="13"/>
    </i>
    <i r="1">
      <x v="14"/>
    </i>
    <i>
      <x v="14"/>
    </i>
    <i r="1">
      <x v="15"/>
    </i>
    <i>
      <x v="15"/>
    </i>
    <i r="1">
      <x v="13"/>
    </i>
    <i>
      <x v="16"/>
    </i>
    <i r="1">
      <x v="14"/>
    </i>
    <i>
      <x v="17"/>
    </i>
    <i r="1">
      <x v="11"/>
    </i>
    <i r="1">
      <x v="16"/>
    </i>
    <i>
      <x v="18"/>
    </i>
    <i r="1">
      <x v="10"/>
    </i>
    <i>
      <x v="19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Unit Supervision Activities WL Points" fld="15" baseField="0" baseItem="0"/>
    <dataField name="% Unit Supervision Activities WL" fld="15" baseField="0" baseItem="0" numFmtId="2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8"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6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BE5998-9154-44F8-AD80-50A6A646AFE0}" name="PivotTable3" cacheId="153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outline="1" outlineData="1" compactData="0" multipleFieldFilters="0">
  <location ref="K3:N59" firstHeaderRow="0" firstDataRow="1" firstDataCol="2"/>
  <pivotFields count="19">
    <pivotField axis="axisRow" compact="0" showAll="0" sortType="ascending">
      <items count="21">
        <item x="1"/>
        <item x="0"/>
        <item x="2"/>
        <item x="3"/>
        <item x="15"/>
        <item x="16"/>
        <item x="17"/>
        <item x="4"/>
        <item x="5"/>
        <item x="6"/>
        <item x="18"/>
        <item x="7"/>
        <item x="8"/>
        <item x="9"/>
        <item x="10"/>
        <item x="11"/>
        <item x="12"/>
        <item x="13"/>
        <item x="14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8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2"/>
  </rowFields>
  <rowItems count="56">
    <i>
      <x/>
    </i>
    <i r="1">
      <x v="1"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2"/>
    </i>
    <i>
      <x v="5"/>
    </i>
    <i r="1">
      <x v="2"/>
    </i>
    <i r="1">
      <x v="3"/>
    </i>
    <i r="1">
      <x v="4"/>
    </i>
    <i>
      <x v="6"/>
    </i>
    <i r="1">
      <x v="4"/>
    </i>
    <i r="1">
      <x v="7"/>
    </i>
    <i>
      <x v="7"/>
    </i>
    <i r="1">
      <x v="4"/>
    </i>
    <i r="1">
      <x v="5"/>
    </i>
    <i r="1">
      <x v="6"/>
    </i>
    <i>
      <x v="8"/>
    </i>
    <i r="1">
      <x v="4"/>
    </i>
    <i r="1">
      <x v="7"/>
    </i>
    <i r="1">
      <x v="8"/>
    </i>
    <i>
      <x v="9"/>
    </i>
    <i r="1">
      <x v="7"/>
    </i>
    <i r="1">
      <x v="9"/>
    </i>
    <i>
      <x v="10"/>
    </i>
    <i r="1">
      <x v="7"/>
    </i>
    <i r="1">
      <x v="9"/>
    </i>
    <i r="1">
      <x v="11"/>
    </i>
    <i>
      <x v="11"/>
    </i>
    <i r="1">
      <x v="7"/>
    </i>
    <i r="1">
      <x v="10"/>
    </i>
    <i r="1">
      <x v="11"/>
    </i>
    <i>
      <x v="12"/>
    </i>
    <i r="1">
      <x v="8"/>
    </i>
    <i r="1">
      <x v="12"/>
    </i>
    <i>
      <x v="13"/>
    </i>
    <i r="1">
      <x v="13"/>
    </i>
    <i r="1">
      <x v="14"/>
    </i>
    <i>
      <x v="14"/>
    </i>
    <i r="1">
      <x v="15"/>
    </i>
    <i>
      <x v="15"/>
    </i>
    <i r="1">
      <x v="13"/>
    </i>
    <i>
      <x v="16"/>
    </i>
    <i r="1">
      <x v="14"/>
    </i>
    <i>
      <x v="17"/>
    </i>
    <i r="1">
      <x v="11"/>
    </i>
    <i r="1">
      <x v="16"/>
    </i>
    <i>
      <x v="18"/>
    </i>
    <i r="1">
      <x v="10"/>
    </i>
    <i>
      <x v="19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Teaching Activity WL Points" fld="13" baseField="0" baseItem="0"/>
    <dataField name="% Teaching Activity WL" fld="13" baseField="0" baseItem="0" numFmtId="2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4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DCDAE6-031E-4AA9-B8F0-644C6A765E33}" name="PivotTable2" cacheId="153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outline="1" outlineData="1" compactData="0" multipleFieldFilters="0">
  <location ref="F3:I59" firstHeaderRow="0" firstDataRow="1" firstDataCol="2"/>
  <pivotFields count="19">
    <pivotField axis="axisRow" compact="0" showAll="0" sortType="ascending">
      <items count="21">
        <item x="1"/>
        <item x="0"/>
        <item x="2"/>
        <item x="3"/>
        <item x="15"/>
        <item x="16"/>
        <item x="17"/>
        <item x="4"/>
        <item x="5"/>
        <item x="6"/>
        <item x="18"/>
        <item x="7"/>
        <item x="8"/>
        <item x="9"/>
        <item x="10"/>
        <item x="11"/>
        <item x="12"/>
        <item x="13"/>
        <item x="14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8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2"/>
  </rowFields>
  <rowItems count="56">
    <i>
      <x/>
    </i>
    <i r="1">
      <x v="1"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2"/>
    </i>
    <i>
      <x v="5"/>
    </i>
    <i r="1">
      <x v="2"/>
    </i>
    <i r="1">
      <x v="3"/>
    </i>
    <i r="1">
      <x v="4"/>
    </i>
    <i>
      <x v="6"/>
    </i>
    <i r="1">
      <x v="4"/>
    </i>
    <i r="1">
      <x v="7"/>
    </i>
    <i>
      <x v="7"/>
    </i>
    <i r="1">
      <x v="4"/>
    </i>
    <i r="1">
      <x v="5"/>
    </i>
    <i r="1">
      <x v="6"/>
    </i>
    <i>
      <x v="8"/>
    </i>
    <i r="1">
      <x v="4"/>
    </i>
    <i r="1">
      <x v="7"/>
    </i>
    <i r="1">
      <x v="8"/>
    </i>
    <i>
      <x v="9"/>
    </i>
    <i r="1">
      <x v="7"/>
    </i>
    <i r="1">
      <x v="9"/>
    </i>
    <i>
      <x v="10"/>
    </i>
    <i r="1">
      <x v="7"/>
    </i>
    <i r="1">
      <x v="9"/>
    </i>
    <i r="1">
      <x v="11"/>
    </i>
    <i>
      <x v="11"/>
    </i>
    <i r="1">
      <x v="7"/>
    </i>
    <i r="1">
      <x v="10"/>
    </i>
    <i r="1">
      <x v="11"/>
    </i>
    <i>
      <x v="12"/>
    </i>
    <i r="1">
      <x v="8"/>
    </i>
    <i r="1">
      <x v="12"/>
    </i>
    <i>
      <x v="13"/>
    </i>
    <i r="1">
      <x v="13"/>
    </i>
    <i r="1">
      <x v="14"/>
    </i>
    <i>
      <x v="14"/>
    </i>
    <i r="1">
      <x v="15"/>
    </i>
    <i>
      <x v="15"/>
    </i>
    <i r="1">
      <x v="13"/>
    </i>
    <i>
      <x v="16"/>
    </i>
    <i r="1">
      <x v="14"/>
    </i>
    <i>
      <x v="17"/>
    </i>
    <i r="1">
      <x v="11"/>
    </i>
    <i r="1">
      <x v="16"/>
    </i>
    <i>
      <x v="18"/>
    </i>
    <i r="1">
      <x v="10"/>
    </i>
    <i>
      <x v="19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Unit Coordinatation WL Points" fld="11" baseField="0" baseItem="0"/>
    <dataField name="% of Unit Coordinatation WL" fld="11" baseField="0" baseItem="0" numFmtId="2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8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0" type="button" dataOnly="0" labelOnly="1" outline="0" axis="axisRow" fieldPosition="0"/>
    </format>
    <format dxfId="76">
      <pivotArea dataOnly="0" labelOnly="1" fieldPosition="0">
        <references count="1">
          <reference field="0" count="0"/>
        </references>
      </pivotArea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2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07A69C-249E-48E1-9EF9-32CEB889BCF0}" name="PivotTable1" cacheId="153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outline="1" outlineData="1" compactData="0" multipleFieldFilters="0">
  <location ref="A3:D59" firstHeaderRow="0" firstDataRow="1" firstDataCol="2"/>
  <pivotFields count="19">
    <pivotField axis="axisRow" compact="0" showAll="0">
      <items count="21">
        <item x="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8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2"/>
  </rowFields>
  <rowItems count="56">
    <i>
      <x/>
    </i>
    <i r="1">
      <x/>
    </i>
    <i>
      <x v="1"/>
    </i>
    <i r="1">
      <x v="1"/>
    </i>
    <i>
      <x v="2"/>
    </i>
    <i r="1">
      <x v="1"/>
    </i>
    <i>
      <x v="3"/>
    </i>
    <i r="1">
      <x v="2"/>
    </i>
    <i>
      <x v="4"/>
    </i>
    <i r="1">
      <x v="3"/>
    </i>
    <i>
      <x v="5"/>
    </i>
    <i r="1">
      <x v="4"/>
    </i>
    <i r="1">
      <x v="5"/>
    </i>
    <i r="1">
      <x v="6"/>
    </i>
    <i>
      <x v="6"/>
    </i>
    <i r="1">
      <x v="4"/>
    </i>
    <i r="1">
      <x v="7"/>
    </i>
    <i r="1">
      <x v="8"/>
    </i>
    <i>
      <x v="7"/>
    </i>
    <i r="1">
      <x v="7"/>
    </i>
    <i r="1">
      <x v="9"/>
    </i>
    <i>
      <x v="8"/>
    </i>
    <i r="1">
      <x v="7"/>
    </i>
    <i r="1">
      <x v="10"/>
    </i>
    <i r="1">
      <x v="11"/>
    </i>
    <i>
      <x v="9"/>
    </i>
    <i r="1">
      <x v="8"/>
    </i>
    <i r="1">
      <x v="12"/>
    </i>
    <i>
      <x v="10"/>
    </i>
    <i r="1">
      <x v="13"/>
    </i>
    <i r="1">
      <x v="14"/>
    </i>
    <i>
      <x v="11"/>
    </i>
    <i r="1">
      <x v="15"/>
    </i>
    <i>
      <x v="12"/>
    </i>
    <i r="1">
      <x v="13"/>
    </i>
    <i>
      <x v="13"/>
    </i>
    <i r="1">
      <x v="14"/>
    </i>
    <i>
      <x v="14"/>
    </i>
    <i r="1">
      <x v="11"/>
    </i>
    <i r="1">
      <x v="16"/>
    </i>
    <i>
      <x v="15"/>
    </i>
    <i r="1">
      <x v="10"/>
    </i>
    <i>
      <x v="16"/>
    </i>
    <i r="1">
      <x v="2"/>
    </i>
    <i>
      <x v="17"/>
    </i>
    <i r="1">
      <x v="2"/>
    </i>
    <i r="1">
      <x v="3"/>
    </i>
    <i r="1">
      <x v="4"/>
    </i>
    <i>
      <x v="18"/>
    </i>
    <i r="1">
      <x v="7"/>
    </i>
    <i r="1">
      <x v="9"/>
    </i>
    <i r="1">
      <x v="11"/>
    </i>
    <i>
      <x v="19"/>
    </i>
    <i r="1">
      <x v="4"/>
    </i>
    <i r="1"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Teaching Workload" fld="9" baseField="0" baseItem="0" numFmtId="164"/>
    <dataField name="% of Total Teaching WL" fld="9" baseField="1" baseItem="0" numFmtId="2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9"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0" type="button" dataOnly="0" labelOnly="1" outline="0" axis="axisRow" fieldPosition="0"/>
    </format>
    <format dxfId="85">
      <pivotArea dataOnly="0" labelOnly="1" fieldPosition="0">
        <references count="1">
          <reference field="0" count="0"/>
        </references>
      </pivotArea>
    </format>
    <format dxfId="84">
      <pivotArea dataOnly="0" labelOnly="1" grandRow="1" outline="0" fieldPosition="0"/>
    </format>
    <format dxfId="83">
      <pivotArea dataOnly="0" labelOnly="1" outline="0" axis="axisValues" fieldPosition="0"/>
    </format>
    <format dxfId="82">
      <pivotArea outline="0" fieldPosition="0">
        <references count="1">
          <reference field="4294967294" count="1">
            <x v="1"/>
          </reference>
        </references>
      </pivotArea>
    </format>
    <format dxfId="8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D5BF70-F09B-474A-B923-707902209DD0}" name="PivotTable5" cacheId="153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outline="1" outlineData="1" compactData="0" multipleFieldFilters="0">
  <location ref="U3:X59" firstHeaderRow="0" firstDataRow="1" firstDataCol="2"/>
  <pivotFields count="19">
    <pivotField axis="axisRow" compact="0" showAll="0" sortType="ascending">
      <items count="21">
        <item x="1"/>
        <item x="0"/>
        <item x="2"/>
        <item x="3"/>
        <item x="15"/>
        <item x="16"/>
        <item x="17"/>
        <item x="4"/>
        <item x="5"/>
        <item x="6"/>
        <item x="18"/>
        <item x="7"/>
        <item x="8"/>
        <item x="9"/>
        <item x="10"/>
        <item x="11"/>
        <item x="12"/>
        <item x="13"/>
        <item x="14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8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2"/>
  </rowFields>
  <rowItems count="56">
    <i>
      <x/>
    </i>
    <i r="1">
      <x v="1"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2"/>
    </i>
    <i>
      <x v="5"/>
    </i>
    <i r="1">
      <x v="2"/>
    </i>
    <i r="1">
      <x v="3"/>
    </i>
    <i r="1">
      <x v="4"/>
    </i>
    <i>
      <x v="6"/>
    </i>
    <i r="1">
      <x v="4"/>
    </i>
    <i r="1">
      <x v="7"/>
    </i>
    <i>
      <x v="7"/>
    </i>
    <i r="1">
      <x v="4"/>
    </i>
    <i r="1">
      <x v="5"/>
    </i>
    <i r="1">
      <x v="6"/>
    </i>
    <i>
      <x v="8"/>
    </i>
    <i r="1">
      <x v="4"/>
    </i>
    <i r="1">
      <x v="7"/>
    </i>
    <i r="1">
      <x v="8"/>
    </i>
    <i>
      <x v="9"/>
    </i>
    <i r="1">
      <x v="7"/>
    </i>
    <i r="1">
      <x v="9"/>
    </i>
    <i>
      <x v="10"/>
    </i>
    <i r="1">
      <x v="7"/>
    </i>
    <i r="1">
      <x v="9"/>
    </i>
    <i r="1">
      <x v="11"/>
    </i>
    <i>
      <x v="11"/>
    </i>
    <i r="1">
      <x v="7"/>
    </i>
    <i r="1">
      <x v="10"/>
    </i>
    <i r="1">
      <x v="11"/>
    </i>
    <i>
      <x v="12"/>
    </i>
    <i r="1">
      <x v="8"/>
    </i>
    <i r="1">
      <x v="12"/>
    </i>
    <i>
      <x v="13"/>
    </i>
    <i r="1">
      <x v="13"/>
    </i>
    <i r="1">
      <x v="14"/>
    </i>
    <i>
      <x v="14"/>
    </i>
    <i r="1">
      <x v="15"/>
    </i>
    <i>
      <x v="15"/>
    </i>
    <i r="1">
      <x v="13"/>
    </i>
    <i>
      <x v="16"/>
    </i>
    <i r="1">
      <x v="14"/>
    </i>
    <i>
      <x v="17"/>
    </i>
    <i r="1">
      <x v="11"/>
    </i>
    <i r="1">
      <x v="16"/>
    </i>
    <i>
      <x v="18"/>
    </i>
    <i r="1">
      <x v="10"/>
    </i>
    <i>
      <x v="19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New Unit Development WL Points" fld="17" baseField="0" baseItem="0"/>
    <dataField name="% New Unit Development WL" fld="17" baseField="0" baseItem="0" numFmtId="2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8"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  <format dxfId="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BCFFCD-6CA4-4BD7-B787-BF479BB2C555}" name="PivotTable1" cacheId="59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outline="1" outlineData="1" compactData="0" multipleFieldFilters="0">
  <location ref="A3:H81" firstHeaderRow="0" firstDataRow="1" firstDataCol="3"/>
  <pivotFields count="12">
    <pivotField axis="axisRow" compact="0" showAll="0">
      <items count="174">
        <item n=" " x="19"/>
        <item x="0"/>
        <item x="1"/>
        <item x="2"/>
        <item x="3"/>
        <item m="1" x="20"/>
        <item m="1" x="21"/>
        <item m="1" x="22"/>
        <item m="1" x="24"/>
        <item m="1" x="26"/>
        <item m="1" x="27"/>
        <item m="1" x="28"/>
        <item m="1" x="29"/>
        <item m="1" x="30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5"/>
        <item m="1" x="46"/>
        <item m="1" x="47"/>
        <item m="1" x="49"/>
        <item m="1" x="50"/>
        <item m="1" x="51"/>
        <item m="1" x="52"/>
        <item m="1" x="172"/>
        <item m="1" x="53"/>
        <item m="1" x="54"/>
        <item m="1" x="55"/>
        <item m="1" x="56"/>
        <item m="1" x="58"/>
        <item x="4"/>
        <item x="5"/>
        <item m="1" x="59"/>
        <item m="1" x="60"/>
        <item m="1" x="61"/>
        <item m="1" x="62"/>
        <item x="6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23"/>
        <item m="1" x="25"/>
        <item m="1" x="31"/>
        <item m="1" x="44"/>
        <item m="1" x="48"/>
        <item m="1" x="57"/>
        <item m="1" x="105"/>
        <item m="1" x="106"/>
        <item m="1" x="107"/>
        <item m="1" x="108"/>
        <item m="1" x="109"/>
        <item m="1" x="110"/>
        <item m="1" x="111"/>
        <item x="7"/>
        <item m="1" x="112"/>
        <item m="1" x="113"/>
        <item m="1" x="114"/>
        <item m="1" x="115"/>
        <item x="8"/>
        <item x="9"/>
        <item m="1" x="116"/>
        <item m="1" x="117"/>
        <item m="1" x="118"/>
        <item m="1" x="119"/>
        <item m="1" x="120"/>
        <item m="1" x="121"/>
        <item x="10"/>
        <item x="11"/>
        <item x="12"/>
        <item x="13"/>
        <item x="14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x="15"/>
        <item x="16"/>
        <item x="18"/>
        <item m="1" x="141"/>
        <item m="1" x="142"/>
        <item m="1" x="143"/>
        <item m="1" x="144"/>
        <item m="1" x="145"/>
        <item m="1" x="146"/>
        <item m="1" x="147"/>
        <item m="1" x="148"/>
        <item m="1" x="171"/>
        <item m="1" x="150"/>
        <item m="1" x="151"/>
        <item m="1" x="152"/>
        <item m="1" x="149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x="17"/>
        <item m="1" x="136"/>
        <item m="1" x="137"/>
        <item m="1" x="138"/>
        <item m="1" x="139"/>
        <item m="1" x="140"/>
        <item m="1" x="167"/>
        <item m="1" x="168"/>
        <item m="1" x="169"/>
        <item m="1" x="170"/>
        <item m="1" x="166"/>
        <item m="1" x="165"/>
        <item t="default"/>
      </items>
    </pivotField>
    <pivotField axis="axisRow" compact="0" showAll="0">
      <items count="4">
        <item n=" " x="1"/>
        <item x="0"/>
        <item m="1" x="2"/>
        <item t="default"/>
      </items>
    </pivotField>
    <pivotField axis="axisRow" compact="0" showAll="0">
      <items count="195">
        <item n=" 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109"/>
        <item m="1" x="35"/>
        <item m="1" x="36"/>
        <item m="1" x="37"/>
        <item m="1" x="38"/>
        <item m="1" x="115"/>
        <item m="1" x="39"/>
        <item m="1" x="40"/>
        <item m="1" x="41"/>
        <item m="1" x="42"/>
        <item m="1" x="43"/>
        <item m="1" x="44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70"/>
        <item m="1" x="71"/>
        <item m="1" x="73"/>
        <item m="1" x="193"/>
        <item m="1" x="72"/>
        <item m="1" x="45"/>
        <item m="1" x="69"/>
        <item m="1" x="74"/>
        <item m="1" x="75"/>
        <item m="1" x="76"/>
        <item m="1" x="77"/>
        <item m="1" x="78"/>
        <item m="1" x="79"/>
        <item m="1" x="34"/>
        <item m="1" x="80"/>
        <item m="1" x="83"/>
        <item m="1" x="84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116"/>
        <item m="1" x="96"/>
        <item m="1" x="97"/>
        <item m="1" x="81"/>
        <item m="1" x="82"/>
        <item m="1" x="85"/>
        <item m="1" x="98"/>
        <item m="1" x="131"/>
        <item m="1" x="132"/>
        <item m="1" x="99"/>
        <item m="1" x="118"/>
        <item m="1" x="110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19"/>
        <item m="1" x="111"/>
        <item m="1" x="100"/>
        <item m="1" x="101"/>
        <item m="1" x="102"/>
        <item m="1" x="120"/>
        <item m="1" x="112"/>
        <item m="1" x="103"/>
        <item m="1" x="121"/>
        <item m="1" x="122"/>
        <item m="1" x="123"/>
        <item m="1" x="114"/>
        <item m="1" x="105"/>
        <item m="1" x="124"/>
        <item m="1" x="125"/>
        <item m="1" x="126"/>
        <item m="1" x="127"/>
        <item m="1" x="128"/>
        <item m="1" x="129"/>
        <item m="1" x="108"/>
        <item m="1" x="130"/>
        <item m="1" x="117"/>
        <item m="1" x="95"/>
        <item m="1" x="113"/>
        <item m="1" x="104"/>
        <item m="1" x="106"/>
        <item m="1" x="1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dragToRow="0" dragToCol="0" dragToPage="0" showAll="0" defaultSubtotal="0"/>
    <pivotField dataField="1" compact="0" dragToRow="0" dragToCol="0" dragToPage="0" showAll="0" defaultSubtotal="0"/>
  </pivotFields>
  <rowFields count="3">
    <field x="0"/>
    <field x="1"/>
    <field x="2"/>
  </rowFields>
  <rowItems count="78">
    <i>
      <x/>
    </i>
    <i r="1">
      <x/>
    </i>
    <i r="2">
      <x/>
    </i>
    <i r="1">
      <x v="1"/>
    </i>
    <i r="2">
      <x/>
    </i>
    <i>
      <x v="1"/>
    </i>
    <i r="1">
      <x v="1"/>
    </i>
    <i r="2">
      <x v="178"/>
    </i>
    <i>
      <x v="2"/>
    </i>
    <i r="1">
      <x v="1"/>
    </i>
    <i r="2">
      <x v="178"/>
    </i>
    <i>
      <x v="3"/>
    </i>
    <i r="1">
      <x v="1"/>
    </i>
    <i r="2">
      <x v="179"/>
    </i>
    <i>
      <x v="4"/>
    </i>
    <i r="1">
      <x v="1"/>
    </i>
    <i r="2">
      <x v="180"/>
    </i>
    <i>
      <x v="39"/>
    </i>
    <i r="1">
      <x v="1"/>
    </i>
    <i r="2">
      <x v="181"/>
    </i>
    <i r="2">
      <x v="182"/>
    </i>
    <i r="2">
      <x v="183"/>
    </i>
    <i>
      <x v="40"/>
    </i>
    <i r="1">
      <x v="1"/>
    </i>
    <i r="2">
      <x v="181"/>
    </i>
    <i r="2">
      <x v="184"/>
    </i>
    <i r="2">
      <x v="185"/>
    </i>
    <i>
      <x v="45"/>
    </i>
    <i r="1">
      <x v="1"/>
    </i>
    <i r="2">
      <x v="184"/>
    </i>
    <i r="2">
      <x v="186"/>
    </i>
    <i>
      <x v="101"/>
    </i>
    <i r="1">
      <x v="1"/>
    </i>
    <i r="2">
      <x v="184"/>
    </i>
    <i r="2">
      <x v="187"/>
    </i>
    <i r="2">
      <x v="188"/>
    </i>
    <i>
      <x v="106"/>
    </i>
    <i r="1">
      <x v="1"/>
    </i>
    <i r="2">
      <x v="185"/>
    </i>
    <i r="2">
      <x v="189"/>
    </i>
    <i>
      <x v="107"/>
    </i>
    <i r="1">
      <x v="1"/>
    </i>
    <i r="2">
      <x v="190"/>
    </i>
    <i r="2">
      <x v="191"/>
    </i>
    <i>
      <x v="114"/>
    </i>
    <i r="1">
      <x v="1"/>
    </i>
    <i r="2">
      <x v="192"/>
    </i>
    <i>
      <x v="115"/>
    </i>
    <i r="1">
      <x v="1"/>
    </i>
    <i r="2">
      <x v="190"/>
    </i>
    <i>
      <x v="116"/>
    </i>
    <i r="1">
      <x v="1"/>
    </i>
    <i r="2">
      <x v="191"/>
    </i>
    <i>
      <x v="117"/>
    </i>
    <i r="1">
      <x v="1"/>
    </i>
    <i r="2">
      <x v="188"/>
    </i>
    <i r="2">
      <x v="193"/>
    </i>
    <i>
      <x v="118"/>
    </i>
    <i r="1">
      <x v="1"/>
    </i>
    <i r="2">
      <x v="187"/>
    </i>
    <i>
      <x v="133"/>
    </i>
    <i r="1">
      <x v="1"/>
    </i>
    <i r="2">
      <x v="179"/>
    </i>
    <i>
      <x v="134"/>
    </i>
    <i r="1">
      <x v="1"/>
    </i>
    <i r="2">
      <x v="179"/>
    </i>
    <i r="2">
      <x v="180"/>
    </i>
    <i r="2">
      <x v="181"/>
    </i>
    <i>
      <x v="135"/>
    </i>
    <i r="1">
      <x v="1"/>
    </i>
    <i r="2">
      <x v="184"/>
    </i>
    <i r="2">
      <x v="186"/>
    </i>
    <i r="2">
      <x v="188"/>
    </i>
    <i>
      <x v="161"/>
    </i>
    <i r="1">
      <x v="1"/>
    </i>
    <i r="2">
      <x v="181"/>
    </i>
    <i r="2">
      <x v="18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tal Teaching Hours" fld="8" baseField="4" baseItem="1"/>
    <dataField name="Total Teaching WL Points" fld="9" baseField="3" baseItem="0"/>
    <dataField name="Average of Enrolment #" fld="3" subtotal="average" baseField="1" baseItem="2" numFmtId="1"/>
    <dataField name="Teaching Hours per Student" fld="10" baseField="4" baseItem="1"/>
    <dataField name="WL Points per Student" fld="11" baseField="4" baseItem="1"/>
  </dataFields>
  <formats count="6">
    <format dxfId="55">
      <pivotArea type="all" dataOnly="0" outline="0" fieldPosition="0"/>
    </format>
    <format dxfId="54">
      <pivotArea outline="0" collapsedLevelsAreSubtotals="1" fieldPosition="0"/>
    </format>
    <format dxfId="53">
      <pivotArea dataOnly="0" labelOnly="1" grandRow="1" outline="0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outline="0" fieldPosition="0">
        <references count="1">
          <reference field="4294967294" count="1" selected="0"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0C221F-04C4-41E5-B896-C30164FB908F}" name="PivotTable4" cacheId="169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K4:M39" firstHeaderRow="1" firstDataRow="1" firstDataCol="3"/>
  <pivotFields count="16">
    <pivotField axis="axisRow" compact="0" outline="0" showAll="0" defaultSubtotal="0">
      <items count="21">
        <item x="20"/>
        <item x="19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7">
        <item m="1" x="36"/>
        <item m="1" x="35"/>
        <item m="1" x="34"/>
        <item x="22"/>
        <item h="1"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axis="axisRow" compact="0" outline="0" showAll="0" defaultSubtotal="0">
      <items count="25">
        <item x="1"/>
        <item m="1" x="24"/>
        <item m="1" x="23"/>
        <item x="14"/>
        <item x="21"/>
        <item m="1" x="22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18"/>
        <item x="19"/>
        <item x="20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</pivotFields>
  <rowFields count="3">
    <field x="0"/>
    <field x="4"/>
    <field x="5"/>
  </rowFields>
  <rowItems count="35">
    <i>
      <x/>
      <x v="3"/>
      <x v="3"/>
    </i>
    <i r="1">
      <x v="13"/>
      <x v="12"/>
    </i>
    <i r="1">
      <x v="16"/>
      <x v="9"/>
    </i>
    <i r="1">
      <x v="19"/>
      <x v="9"/>
    </i>
    <i r="1">
      <x v="20"/>
      <x v="6"/>
    </i>
    <i r="1">
      <x v="21"/>
      <x v="15"/>
    </i>
    <i r="1">
      <x v="22"/>
      <x v="11"/>
    </i>
    <i r="1">
      <x v="23"/>
      <x v="11"/>
    </i>
    <i r="1">
      <x v="24"/>
      <x v="16"/>
    </i>
    <i r="1">
      <x v="25"/>
      <x v="17"/>
    </i>
    <i r="1">
      <x v="26"/>
      <x v="18"/>
    </i>
    <i r="1">
      <x v="27"/>
      <x v="19"/>
    </i>
    <i r="1">
      <x v="28"/>
      <x v="20"/>
    </i>
    <i r="1">
      <x v="29"/>
      <x v="21"/>
    </i>
    <i r="1">
      <x v="30"/>
      <x v="22"/>
    </i>
    <i r="1">
      <x v="31"/>
      <x v="22"/>
    </i>
    <i r="1">
      <x v="32"/>
      <x v="7"/>
    </i>
    <i r="1">
      <x v="33"/>
      <x v="20"/>
    </i>
    <i r="1">
      <x v="34"/>
      <x v="23"/>
    </i>
    <i r="1">
      <x v="35"/>
      <x v="9"/>
    </i>
    <i r="1">
      <x v="36"/>
      <x v="20"/>
    </i>
    <i>
      <x v="1"/>
      <x v="14"/>
      <x v="9"/>
    </i>
    <i r="1">
      <x v="15"/>
      <x v="7"/>
    </i>
    <i r="1">
      <x v="16"/>
      <x v="9"/>
    </i>
    <i r="1">
      <x v="17"/>
      <x v="13"/>
    </i>
    <i r="1">
      <x v="18"/>
      <x v="14"/>
    </i>
    <i>
      <x v="2"/>
      <x v="13"/>
      <x v="12"/>
    </i>
    <i>
      <x v="3"/>
      <x v="5"/>
      <x v="24"/>
    </i>
    <i>
      <x v="6"/>
      <x v="6"/>
      <x v="6"/>
    </i>
    <i>
      <x v="11"/>
      <x v="7"/>
      <x v="7"/>
    </i>
    <i>
      <x v="13"/>
      <x v="8"/>
      <x v="8"/>
    </i>
    <i>
      <x v="14"/>
      <x v="9"/>
      <x v="9"/>
    </i>
    <i>
      <x v="15"/>
      <x v="10"/>
      <x v="10"/>
    </i>
    <i>
      <x v="18"/>
      <x v="11"/>
      <x v="11"/>
    </i>
    <i>
      <x v="19"/>
      <x v="12"/>
      <x v="9"/>
    </i>
  </rowItems>
  <colItems count="1">
    <i/>
  </colItem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4AE565-D586-48D6-A0F4-5C3735D495EB}" name="PivotTable5" cacheId="169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O4:Q17" firstHeaderRow="1" firstDataRow="1" firstDataCol="3"/>
  <pivotFields count="16">
    <pivotField axis="axisRow" compact="0" outline="0" showAll="0" defaultSubtotal="0">
      <items count="21">
        <item x="20"/>
        <item x="19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5">
        <item m="1" x="14"/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13">
        <item m="1" x="12"/>
        <item x="1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</pivotFields>
  <rowFields count="3">
    <field x="0"/>
    <field x="6"/>
    <field x="7"/>
  </rowFields>
  <rowItems count="13">
    <i>
      <x/>
      <x v="6"/>
      <x v="7"/>
    </i>
    <i r="1">
      <x v="7"/>
      <x v="8"/>
    </i>
    <i r="1">
      <x v="8"/>
      <x v="9"/>
    </i>
    <i r="1">
      <x v="9"/>
      <x v="10"/>
    </i>
    <i r="1">
      <x v="10"/>
      <x v="11"/>
    </i>
    <i r="1">
      <x v="11"/>
      <x v="11"/>
    </i>
    <i r="1">
      <x v="12"/>
      <x v="7"/>
    </i>
    <i r="1">
      <x v="13"/>
      <x v="7"/>
    </i>
    <i r="1">
      <x v="14"/>
      <x v="12"/>
    </i>
    <i>
      <x v="1"/>
      <x v="5"/>
      <x v="6"/>
    </i>
    <i>
      <x v="11"/>
      <x v="2"/>
      <x v="3"/>
    </i>
    <i>
      <x v="15"/>
      <x v="3"/>
      <x v="4"/>
    </i>
    <i>
      <x v="18"/>
      <x v="4"/>
      <x v="5"/>
    </i>
  </rowItems>
  <colItems count="1">
    <i/>
  </colItem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4DE11D-9518-4D23-8007-7F1FB93891EB}" name="PivotTable2" cacheId="9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F25" firstHeaderRow="1" firstDataRow="1" firstDataCol="1"/>
  <pivotFields count="7">
    <pivotField axis="axisRow" showAll="0" sortType="ascending">
      <items count="22">
        <item x="19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2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dataFields count="1">
    <dataField name="Sum of WL Points" fld="6" baseField="0" baseItem="0"/>
  </dataField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CA8BCD-DBB4-41FA-B1B8-B6C58FDB24C7}" name="PivotTable8" cacheId="169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AA4:AC5" firstHeaderRow="1" firstDataRow="1" firstDataCol="3"/>
  <pivotFields count="16">
    <pivotField axis="axisRow" compact="0" outline="0" showAll="0" defaultSubtotal="0">
      <items count="21">
        <item x="20"/>
        <item x="19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3">
        <item h="1" x="2"/>
        <item h="1" x="0"/>
        <item x="1"/>
      </items>
    </pivotField>
    <pivotField compact="0" outline="0" subtotalTop="0" showAll="0" defaultSubtotal="0"/>
    <pivotField compact="0" outline="0" subtotalTop="0" showAll="0" defaultSubtotal="0"/>
  </pivotFields>
  <rowFields count="3">
    <field x="0"/>
    <field x="12"/>
    <field x="13"/>
  </rowFields>
  <rowItems count="1">
    <i>
      <x/>
      <x v="1"/>
      <x v="2"/>
    </i>
  </rowItems>
  <colItems count="1">
    <i/>
  </colItem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BA0DF5-82E2-41A8-A54D-A70C8F83AB66}" name="PivotTable7" cacheId="169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W4:Y8" firstHeaderRow="1" firstDataRow="1" firstDataCol="3"/>
  <pivotFields count="16">
    <pivotField axis="axisRow" compact="0" outline="0" showAll="0" defaultSubtotal="0">
      <items count="21">
        <item x="20"/>
        <item x="19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5">
        <item h="1" x="4"/>
        <item h="1" x="0"/>
        <item x="1"/>
        <item x="2"/>
        <item x="3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</pivotFields>
  <rowFields count="3">
    <field x="0"/>
    <field x="10"/>
    <field x="11"/>
  </rowFields>
  <rowItems count="4">
    <i>
      <x/>
      <x v="2"/>
      <x v="2"/>
    </i>
    <i r="1">
      <x v="3"/>
      <x v="3"/>
    </i>
    <i r="1">
      <x v="4"/>
      <x v="4"/>
    </i>
    <i>
      <x v="1"/>
      <x v="1"/>
      <x v="2"/>
    </i>
  </rowItems>
  <colItems count="1">
    <i/>
  </colItem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29FC6-F76E-4232-BC4B-8DC227D0B79A}" name="PivotTable3" cacheId="132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H4:I26" firstHeaderRow="1" firstDataRow="1" firstDataCol="2"/>
  <pivotFields count="4">
    <pivotField axis="axisRow" compact="0" outline="0" showAll="0" sortType="ascending" defaultSubtotal="0">
      <items count="21">
        <item x="19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">
        <item x="0"/>
        <item x="6"/>
        <item x="4"/>
        <item x="3"/>
        <item m="1" x="7"/>
        <item m="1" x="8"/>
        <item m="1" x="9"/>
        <item m="1" x="11"/>
        <item x="5"/>
        <item m="1" x="18"/>
        <item m="1" x="22"/>
        <item x="1"/>
        <item x="2"/>
        <item m="1" x="10"/>
        <item m="1" x="12"/>
        <item m="1" x="13"/>
        <item m="1" x="14"/>
        <item m="1" x="15"/>
        <item m="1" x="16"/>
        <item m="1" x="17"/>
        <item m="1" x="19"/>
        <item m="1" x="20"/>
        <item m="1" x="21"/>
        <item m="1" x="23"/>
        <item m="1" x="24"/>
        <item m="1" x="25"/>
        <item m="1"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2"/>
  </rowFields>
  <rowItems count="22">
    <i>
      <x/>
      <x v="8"/>
    </i>
    <i>
      <x v="1"/>
      <x v="2"/>
    </i>
    <i>
      <x v="2"/>
      <x/>
    </i>
    <i>
      <x v="3"/>
      <x v="11"/>
    </i>
    <i>
      <x v="4"/>
      <x v="11"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 v="12"/>
    </i>
    <i>
      <x v="18"/>
      <x v="3"/>
    </i>
    <i>
      <x v="19"/>
      <x/>
    </i>
    <i>
      <x v="20"/>
      <x v="1"/>
    </i>
    <i r="1">
      <x v="2"/>
    </i>
  </rowItems>
  <colItems count="1">
    <i/>
  </colItem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BAE5-24F5-4122-8B66-078D3842C742}" name="PivotTable9" cacheId="169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AE4:AG26" firstHeaderRow="1" firstDataRow="1" firstDataCol="3"/>
  <pivotFields count="16">
    <pivotField axis="axisRow" compact="0" outline="0" showAll="0" defaultSubtotal="0">
      <items count="21">
        <item x="20"/>
        <item x="19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defaultSubtotal="0">
      <items count="1">
        <item x="0"/>
      </items>
    </pivotField>
    <pivotField axis="axisRow" compact="0" outline="0" subtotalTop="0" showAll="0" defaultSubtotal="0">
      <items count="2">
        <item x="1"/>
        <item x="0"/>
      </items>
    </pivotField>
  </pivotFields>
  <rowFields count="3">
    <field x="0"/>
    <field x="14"/>
    <field x="15"/>
  </rowFields>
  <rowItems count="22">
    <i>
      <x/>
      <x/>
      <x/>
    </i>
    <i r="2">
      <x v="1"/>
    </i>
    <i>
      <x v="1"/>
      <x/>
      <x v="1"/>
    </i>
    <i>
      <x v="2"/>
      <x/>
      <x v="1"/>
    </i>
    <i>
      <x v="3"/>
      <x/>
      <x v="1"/>
    </i>
    <i>
      <x v="4"/>
      <x/>
      <x v="1"/>
    </i>
    <i>
      <x v="5"/>
      <x/>
      <x v="1"/>
    </i>
    <i>
      <x v="6"/>
      <x/>
      <x v="1"/>
    </i>
    <i>
      <x v="7"/>
      <x/>
      <x v="1"/>
    </i>
    <i>
      <x v="8"/>
      <x/>
      <x v="1"/>
    </i>
    <i>
      <x v="9"/>
      <x/>
      <x v="1"/>
    </i>
    <i>
      <x v="10"/>
      <x/>
      <x v="1"/>
    </i>
    <i>
      <x v="11"/>
      <x/>
      <x v="1"/>
    </i>
    <i>
      <x v="12"/>
      <x/>
      <x v="1"/>
    </i>
    <i>
      <x v="13"/>
      <x/>
      <x v="1"/>
    </i>
    <i>
      <x v="14"/>
      <x/>
      <x v="1"/>
    </i>
    <i>
      <x v="15"/>
      <x/>
      <x v="1"/>
    </i>
    <i>
      <x v="16"/>
      <x/>
      <x v="1"/>
    </i>
    <i>
      <x v="17"/>
      <x/>
      <x v="1"/>
    </i>
    <i>
      <x v="18"/>
      <x/>
      <x v="1"/>
    </i>
    <i>
      <x v="19"/>
      <x/>
      <x v="1"/>
    </i>
    <i>
      <x v="20"/>
      <x/>
      <x v="1"/>
    </i>
  </rowItems>
  <colItems count="1">
    <i/>
  </colItem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4B7629-7B53-46F1-A979-5E4B8312DFF6}" name="PivotTable1" cacheId="153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A4:C39" firstHeaderRow="1" firstDataRow="1" firstDataCol="2"/>
  <pivotFields count="19">
    <pivotField axis="axisRow" compact="0" outline="0" subtotalTop="0" showAll="0" defaultSubtotal="0">
      <items count="20">
        <item x="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17">
        <item x="1"/>
        <item x="0"/>
        <item x="5"/>
        <item x="2"/>
        <item x="4"/>
        <item x="6"/>
        <item x="3"/>
        <item x="7"/>
        <item x="8"/>
        <item x="11"/>
        <item x="14"/>
        <item x="12"/>
        <item x="13"/>
        <item x="10"/>
        <item x="15"/>
        <item x="9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35">
    <i>
      <x/>
      <x v="3"/>
    </i>
    <i r="1">
      <x v="16"/>
    </i>
    <i r="1">
      <x v="17"/>
    </i>
    <i>
      <x v="1"/>
      <x v="1"/>
    </i>
    <i r="1">
      <x v="2"/>
    </i>
    <i>
      <x v="2"/>
      <x v="5"/>
    </i>
    <i>
      <x v="3"/>
      <x v="4"/>
    </i>
    <i r="1">
      <x v="17"/>
    </i>
    <i>
      <x v="4"/>
      <x v="5"/>
    </i>
    <i>
      <x v="5"/>
      <x v="6"/>
    </i>
    <i r="1">
      <x v="7"/>
    </i>
    <i r="1">
      <x v="8"/>
    </i>
    <i r="1">
      <x v="18"/>
    </i>
    <i r="1">
      <x v="19"/>
    </i>
    <i>
      <x v="6"/>
      <x v="5"/>
    </i>
    <i r="1">
      <x v="6"/>
    </i>
    <i r="1">
      <x v="17"/>
    </i>
    <i r="1">
      <x v="19"/>
    </i>
    <i>
      <x v="7"/>
      <x v="6"/>
    </i>
    <i r="1">
      <x v="9"/>
    </i>
    <i>
      <x v="8"/>
      <x v="7"/>
    </i>
    <i r="1">
      <x v="18"/>
    </i>
    <i>
      <x v="9"/>
      <x v="9"/>
    </i>
    <i>
      <x v="10"/>
      <x v="11"/>
    </i>
    <i>
      <x v="11"/>
      <x v="10"/>
    </i>
    <i r="1">
      <x v="12"/>
    </i>
    <i>
      <x v="12"/>
      <x v="10"/>
    </i>
    <i r="1">
      <x v="13"/>
    </i>
    <i>
      <x v="13"/>
      <x v="8"/>
    </i>
    <i r="1">
      <x v="14"/>
    </i>
    <i r="1">
      <x v="18"/>
    </i>
    <i>
      <x v="14"/>
      <x v="14"/>
    </i>
    <i>
      <x v="15"/>
      <x v="8"/>
    </i>
    <i r="1">
      <x v="15"/>
    </i>
    <i>
      <x v="16"/>
      <x/>
    </i>
  </rowItems>
  <colItems count="1">
    <i/>
  </colItems>
  <dataFields count="1">
    <dataField name="Sum of WL Points" fld="9" baseField="0" baseItem="100"/>
  </dataField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D166AE-6648-43A0-90C3-260B8434681E}" name="PivotTable6" cacheId="169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S4:U11" firstHeaderRow="1" firstDataRow="1" firstDataCol="3"/>
  <pivotFields count="16">
    <pivotField axis="axisRow" compact="0" outline="0" showAll="0" defaultSubtotal="0">
      <items count="21">
        <item x="20"/>
        <item x="19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"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h="1" x="6"/>
        <item h="1" x="0"/>
        <item x="1"/>
        <item x="2"/>
        <item x="3"/>
        <item x="4"/>
        <item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</pivotFields>
  <rowFields count="3">
    <field x="0"/>
    <field x="8"/>
    <field x="9"/>
  </rowFields>
  <rowItems count="7">
    <i>
      <x/>
      <x v="2"/>
      <x v="3"/>
    </i>
    <i r="1">
      <x v="3"/>
      <x v="4"/>
    </i>
    <i r="1">
      <x v="4"/>
      <x v="5"/>
    </i>
    <i r="1">
      <x v="5"/>
      <x v="6"/>
    </i>
    <i r="1">
      <x v="6"/>
      <x v="6"/>
    </i>
    <i>
      <x v="1"/>
      <x v="2"/>
      <x v="3"/>
    </i>
    <i>
      <x v="11"/>
      <x v="1"/>
      <x v="2"/>
    </i>
  </rowItems>
  <colItems count="1">
    <i/>
  </colItem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BDC4D9E-7962-4177-9260-C9688752D7B0}" name="Unit_Codes" displayName="Unit_Codes" ref="A1:F259" totalsRowShown="0" headerRowCellStyle="Normal">
  <autoFilter ref="A1:F259" xr:uid="{3BDC4D9E-7962-4177-9260-C9688752D7B0}"/>
  <tableColumns count="6">
    <tableColumn id="1" xr3:uid="{8E6936A7-87DC-49E7-88A1-7BD2F44D9974}" name="Unit Codes" dataDxfId="49"/>
    <tableColumn id="2" xr3:uid="{0D312C38-CBF4-4987-A812-DA5E16F3EBB5}" name="Unit Name" dataDxfId="48"/>
    <tableColumn id="3" xr3:uid="{595EE9F1-F2BA-43F2-B36F-FD2DCA22B03B}" name="Grouped Unit?" dataDxfId="47"/>
    <tableColumn id="4" xr3:uid="{B01A33B8-4B05-4A24-9442-2342178E8535}" name="Enrolment # (29.04.24)" dataDxfId="46"/>
    <tableColumn id="5" xr3:uid="{E0C1F099-68F1-46EA-805E-B8C774A5129B}" name="Expected UC Tariff">
      <calculatedColumnFormula>IF(D2&gt;0,ROUNDUP(((35+(D2*0.8625))/17.25),1),"")</calculatedColumnFormula>
    </tableColumn>
    <tableColumn id="6" xr3:uid="{FDC44192-BF9E-4B27-841A-9436B6B394A1}" name="CWS Hrs. Per Student" dataDxfId="45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806709-94B8-458D-AB08-BD19271BC670}" name="Staff_Type" displayName="Staff_Type" ref="A1:A6" totalsRowShown="0" headerRowDxfId="44">
  <tableColumns count="1">
    <tableColumn id="1" xr3:uid="{A7F5ED23-5301-4A25-AB02-30A3E7A52210}" name="Staff Type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1C9729-9915-435F-9C5D-EFBA3561B7B4}" name="Staff_Name" displayName="Staff_Name" ref="C1:K36" totalsRowShown="0" headerRowDxfId="43">
  <autoFilter ref="C1:K36" xr:uid="{0C1C9729-9915-435F-9C5D-EFBA3561B7B4}"/>
  <sortState xmlns:xlrd2="http://schemas.microsoft.com/office/spreadsheetml/2017/richdata2" ref="C2:C7">
    <sortCondition ref="C1:C7"/>
  </sortState>
  <tableColumns count="9">
    <tableColumn id="1" xr3:uid="{442BDB04-3E84-4567-B08A-DEC8E5D54507}" name="Staff Member" dataDxfId="42">
      <calculatedColumnFormula>D2&amp;", "&amp;E2</calculatedColumnFormula>
    </tableColumn>
    <tableColumn id="2" xr3:uid="{9FB197BF-77D9-4E5A-86AD-B9D04C8CAB16}" name="Staff Name" dataDxfId="41"/>
    <tableColumn id="3" xr3:uid="{A50EB14E-5A47-4674-A033-C9804800F759}" name="Staff Number" dataDxfId="40"/>
    <tableColumn id="4" xr3:uid="{B28593C1-7E50-4C6A-89F8-C98DAC58D214}" name="FTE" dataDxfId="39"/>
    <tableColumn id="5" xr3:uid="{09E7BA4F-1FC3-43FA-940C-8A71EE04DD2C}" name="Function" dataDxfId="38"/>
    <tableColumn id="6" xr3:uid="{47D0D765-FB65-4B7E-AAA4-7EC79442D41E}" name="Target Teaching %" dataDxfId="37"/>
    <tableColumn id="7" xr3:uid="{0BE84D24-534B-4CAF-8ED9-AB7D26CBBA2B}" name="Target Research %" dataDxfId="36"/>
    <tableColumn id="8" xr3:uid="{A5A7DEF7-DE0A-4B81-94D4-CDBCE4A7CE96}" name="Target T:R Balance" dataDxfId="35">
      <calculatedColumnFormula>IF(ISNUMBER(Staff_Name[[#This Row],[FTE]]),H2/(H2+I2),"N/A")</calculatedColumnFormula>
    </tableColumn>
    <tableColumn id="9" xr3:uid="{21CE256D-0B90-4130-AA2D-14248C8A961D}" name="Target Band" dataDxfId="34">
      <calculatedColumnFormula>IF(ISNUMBER(Staff_Name[[#This Row],[FTE]]),IF(J2&lt;=0.2,"Research Focused",IF(J2&lt;=0.79,"Balanced Teaching &amp; Research",IF(J2&lt;=1,"Teaching Focused",""))),"N/A")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426F82-E4FA-467B-940A-E3053558C3C3}" name="Roles" displayName="Roles" ref="A1:F61" totalsRowShown="0" headerRowDxfId="33" dataDxfId="32">
  <autoFilter ref="A1:F61" xr:uid="{E9426F82-E4FA-467B-940A-E3053558C3C3}"/>
  <tableColumns count="6">
    <tableColumn id="7" xr3:uid="{97A18531-213E-413E-8033-FB90CCCDFD57}" name="Category" dataDxfId="31"/>
    <tableColumn id="1" xr3:uid="{3EA9609C-7B18-4053-902F-CABFB9F61A2F}" name="ASSSIGNED ROLE" dataDxfId="30"/>
    <tableColumn id="2" xr3:uid="{6F2280E4-3DAE-4FE4-97E5-895D5ECFCFC2}" name="Hours" dataDxfId="29"/>
    <tableColumn id="3" xr3:uid="{2AA20955-CD34-4F0E-BD74-B6307FC6EDE1}" name="Points" dataDxfId="28"/>
    <tableColumn id="4" xr3:uid="{502C1A4A-1E4E-4033-A44E-EDF7E1BA4D06}" name="Notes" dataDxfId="27"/>
    <tableColumn id="5" xr3:uid="{AC019E4C-F5C9-4A0B-BEF0-318A5205A383}" name="Name" dataDxfId="26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8F1986-D563-4FE2-93F4-08CE764D1308}" name="Table4" displayName="Table4" ref="G1:G5" totalsRowShown="0">
  <autoFilter ref="G1:G5" xr:uid="{448F1986-D563-4FE2-93F4-08CE764D1308}"/>
  <tableColumns count="1">
    <tableColumn id="1" xr3:uid="{FC9F4D5D-1BCF-45C4-AC49-EC1BE04B197C}" name="Role Pillars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6" dT="2026-01-23T07:36:09.30" personId="{AA253050-4652-4C2F-A412-4BA76536D864}" id="{98F31CA5-A406-4048-9CEF-809800D96031}">
    <text xml:space="preserve">Tavis is a casual, not on Libby’s staffing list ?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2" dT="2026-01-29T06:22:53.91" personId="{AA253050-4652-4C2F-A412-4BA76536D864}" id="{981EE587-8F3A-48FE-BF49-2C0BD309AD60}">
    <text xml:space="preserve">Check with HoS  T&amp;R breakdown ratios are </text>
  </threadedComment>
  <threadedComment ref="I2" dT="2026-01-29T06:23:32.19" personId="{AA253050-4652-4C2F-A412-4BA76536D864}" id="{4D37A8E5-0545-4FF3-B752-B724719D626B}">
    <text xml:space="preserve">Check with HoS  T&amp;R breakdown ratios are 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2" dT="2026-01-29T06:24:26.83" personId="{AA253050-4652-4C2F-A412-4BA76536D864}" id="{173B95F7-18AE-45EE-A87D-90D7BB9BC330}">
    <text xml:space="preserve">Hos to check, I have amended this to fall in line with other HoS.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7.xml"/><Relationship Id="rId3" Type="http://schemas.openxmlformats.org/officeDocument/2006/relationships/pivotTable" Target="../pivotTables/pivotTable12.xml"/><Relationship Id="rId7" Type="http://schemas.openxmlformats.org/officeDocument/2006/relationships/pivotTable" Target="../pivotTables/pivotTable16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5" Type="http://schemas.openxmlformats.org/officeDocument/2006/relationships/pivotTable" Target="../pivotTables/pivotTable14.xml"/><Relationship Id="rId10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13.xml"/><Relationship Id="rId9" Type="http://schemas.openxmlformats.org/officeDocument/2006/relationships/pivotTable" Target="../pivotTables/pivotTable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4.xml"/><Relationship Id="rId4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5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49298-D291-40B6-AFBD-6FFDC6E387A6}">
  <sheetPr codeName="Sheet1"/>
  <dimension ref="A1:AC550"/>
  <sheetViews>
    <sheetView zoomScale="110" zoomScaleNormal="110" workbookViewId="0">
      <pane ySplit="2" topLeftCell="A3" activePane="bottomLeft" state="frozen"/>
      <selection pane="bottomLeft" activeCell="G103" sqref="G103"/>
    </sheetView>
  </sheetViews>
  <sheetFormatPr defaultColWidth="8.7109375" defaultRowHeight="15" x14ac:dyDescent="0.25"/>
  <cols>
    <col min="1" max="1" width="30" style="30" bestFit="1" customWidth="1"/>
    <col min="2" max="2" width="11.140625" style="30" bestFit="1" customWidth="1"/>
    <col min="3" max="3" width="11.42578125" style="30" bestFit="1" customWidth="1"/>
    <col min="4" max="4" width="15.5703125" style="30" bestFit="1" customWidth="1"/>
    <col min="5" max="5" width="21.140625" style="30" bestFit="1" customWidth="1"/>
    <col min="6" max="6" width="21.140625" style="30" customWidth="1"/>
    <col min="7" max="7" width="23.85546875" style="30" bestFit="1" customWidth="1"/>
    <col min="8" max="8" width="14.28515625" style="30" bestFit="1" customWidth="1"/>
    <col min="9" max="9" width="12.5703125" style="30" bestFit="1" customWidth="1"/>
    <col min="10" max="10" width="26.85546875" style="30" bestFit="1" customWidth="1"/>
    <col min="11" max="11" width="15.85546875" style="30" bestFit="1" customWidth="1"/>
    <col min="12" max="12" width="17.7109375" style="30" bestFit="1" customWidth="1"/>
    <col min="13" max="13" width="18" style="30" bestFit="1" customWidth="1"/>
    <col min="14" max="14" width="8.7109375" style="30"/>
    <col min="15" max="15" width="15.140625" style="30" bestFit="1" customWidth="1"/>
    <col min="16" max="16" width="12.140625" style="30" bestFit="1" customWidth="1"/>
    <col min="17" max="17" width="23.7109375" style="30" bestFit="1" customWidth="1"/>
    <col min="18" max="18" width="19" style="30" bestFit="1" customWidth="1"/>
    <col min="19" max="19" width="17.85546875" style="30" bestFit="1" customWidth="1"/>
    <col min="20" max="20" width="24.85546875" style="30" bestFit="1" customWidth="1"/>
    <col min="21" max="21" width="22.42578125" style="30" bestFit="1" customWidth="1"/>
    <col min="22" max="22" width="11.85546875" style="30" customWidth="1"/>
    <col min="23" max="23" width="20.140625" style="30" bestFit="1" customWidth="1"/>
    <col min="24" max="24" width="19.85546875" style="30" bestFit="1" customWidth="1"/>
    <col min="25" max="25" width="20.5703125" style="30" bestFit="1" customWidth="1"/>
    <col min="26" max="26" width="10.85546875" style="30" customWidth="1"/>
    <col min="27" max="27" width="20.140625" style="30" bestFit="1" customWidth="1"/>
    <col min="28" max="28" width="15.7109375" style="30" bestFit="1" customWidth="1"/>
    <col min="29" max="16384" width="8.7109375" style="30"/>
  </cols>
  <sheetData>
    <row r="1" spans="1:29" x14ac:dyDescent="0.25">
      <c r="A1" s="91" t="s">
        <v>0</v>
      </c>
      <c r="B1" s="121" t="s">
        <v>1</v>
      </c>
      <c r="C1" s="92"/>
      <c r="D1" s="92"/>
      <c r="E1" s="92"/>
      <c r="F1" s="92"/>
      <c r="G1" s="92"/>
      <c r="H1" s="93"/>
      <c r="I1" s="42"/>
      <c r="J1" s="42"/>
      <c r="K1" s="42"/>
      <c r="L1" s="42"/>
      <c r="M1" s="42"/>
      <c r="O1" s="26" t="s">
        <v>2</v>
      </c>
      <c r="W1" s="26" t="s">
        <v>3</v>
      </c>
      <c r="AA1" s="26" t="s">
        <v>4</v>
      </c>
    </row>
    <row r="2" spans="1:29" x14ac:dyDescent="0.25">
      <c r="A2" s="43" t="s">
        <v>5</v>
      </c>
      <c r="B2" s="43" t="s">
        <v>6</v>
      </c>
      <c r="C2" s="44" t="s">
        <v>7</v>
      </c>
      <c r="D2" s="44" t="s">
        <v>8</v>
      </c>
      <c r="E2" s="44" t="s">
        <v>9</v>
      </c>
      <c r="F2" s="44" t="s">
        <v>10</v>
      </c>
      <c r="G2" s="44" t="s">
        <v>11</v>
      </c>
      <c r="H2" s="45" t="s">
        <v>12</v>
      </c>
      <c r="I2" s="43" t="s">
        <v>13</v>
      </c>
      <c r="J2" s="43" t="s">
        <v>14</v>
      </c>
      <c r="K2" s="43" t="s">
        <v>15</v>
      </c>
      <c r="L2" s="43" t="s">
        <v>16</v>
      </c>
      <c r="M2" s="43" t="s">
        <v>17</v>
      </c>
      <c r="O2" s="49" t="s">
        <v>5</v>
      </c>
      <c r="P2" s="49" t="s">
        <v>18</v>
      </c>
      <c r="Q2" s="30" t="s">
        <v>19</v>
      </c>
      <c r="R2" s="30" t="s">
        <v>20</v>
      </c>
      <c r="S2" s="30" t="s">
        <v>21</v>
      </c>
      <c r="T2" s="30" t="s">
        <v>22</v>
      </c>
      <c r="U2" s="30" t="s">
        <v>23</v>
      </c>
      <c r="W2" s="49" t="s">
        <v>5</v>
      </c>
      <c r="X2" s="30" t="s">
        <v>9</v>
      </c>
      <c r="Y2" s="30" t="s">
        <v>24</v>
      </c>
      <c r="AA2" s="159" t="s">
        <v>25</v>
      </c>
      <c r="AB2" t="s">
        <v>26</v>
      </c>
      <c r="AC2"/>
    </row>
    <row r="3" spans="1:29" x14ac:dyDescent="0.25">
      <c r="A3" s="40" t="str" cm="1">
        <f t="array" ref="A3:A33">_xlfn._xlws.FILTER(Staff_Name[Staff Member],ISERROR(SEARCH("Academic NA",Staff_Name[Staff Member])),"")</f>
        <v>Dummy, 01, 00000001</v>
      </c>
      <c r="B3" s="40">
        <f>_xlfn.XLOOKUP(A3,Staff_Name[Staff Member],Staff_Name[FTE],"")</f>
        <v>1</v>
      </c>
      <c r="C3" s="46">
        <f>_xlfn.XLOOKUP(A3,O:O,Q:Q,0)</f>
        <v>24.985507246376812</v>
      </c>
      <c r="D3" s="46">
        <f>_xlfn.XLOOKUP(A3,W:W,Y:Y,0)</f>
        <v>50</v>
      </c>
      <c r="E3" s="46">
        <f>_xlfn.XLOOKUP(A3,W:W,X:X,0)</f>
        <v>10</v>
      </c>
      <c r="F3" s="46">
        <f>_xlfn.XLOOKUP(A3,AA:AA,AB:AB,0)</f>
        <v>4</v>
      </c>
      <c r="G3" s="46">
        <f>IFERROR((B3*100)-(SUM(C3:F3)),0)</f>
        <v>11.014492753623188</v>
      </c>
      <c r="H3" s="47">
        <f>IFERROR(SUM(C3:G3),"")</f>
        <v>100</v>
      </c>
      <c r="I3" s="40">
        <f>IFERROR(_xlfn.XLOOKUP(A3,Staff_Name[Staff Member],Staff_Name[Target T:R Balance],""),"")</f>
        <v>0.5</v>
      </c>
      <c r="J3" s="40" t="str">
        <f>IFERROR(_xlfn.XLOOKUP(A3,Staff_Name[Staff Member],Staff_Name[Target Band],""),"")</f>
        <v>Balanced Teaching &amp; Research</v>
      </c>
      <c r="K3" s="40">
        <f>IFERROR(ROUND(C3/(C3+G3),2),"")</f>
        <v>0.69</v>
      </c>
      <c r="L3" s="40" t="str">
        <f>IF(K3&lt;=0.2,"Research Focused",IF(K3&lt;=0.79,"Balanced Teaching &amp; Research",IF(K3&lt;=1,"Teaching Focused","")))</f>
        <v>Balanced Teaching &amp; Research</v>
      </c>
      <c r="M3" s="40" t="str">
        <f>IF(J3=L3,"No","Yes")</f>
        <v>No</v>
      </c>
      <c r="O3" s="30" t="s">
        <v>27</v>
      </c>
      <c r="Q3" s="30">
        <v>0</v>
      </c>
      <c r="R3" s="30">
        <v>0</v>
      </c>
      <c r="S3" s="30">
        <v>0</v>
      </c>
      <c r="T3" s="30">
        <v>0</v>
      </c>
      <c r="U3" s="30">
        <v>0</v>
      </c>
      <c r="W3" s="30">
        <v>0</v>
      </c>
      <c r="X3" s="30">
        <v>0</v>
      </c>
      <c r="Y3" s="30">
        <v>89.101449275362327</v>
      </c>
      <c r="AA3" s="81" t="s">
        <v>824</v>
      </c>
      <c r="AB3" s="205">
        <v>4</v>
      </c>
      <c r="AC3"/>
    </row>
    <row r="4" spans="1:29" x14ac:dyDescent="0.25">
      <c r="A4" s="40" t="str">
        <v>Dummy, 02, 00000002</v>
      </c>
      <c r="B4" s="40">
        <f>_xlfn.XLOOKUP(A4,Staff_Name[Staff Member],Staff_Name[FTE],"")</f>
        <v>0.92</v>
      </c>
      <c r="C4" s="46">
        <f t="shared" ref="C4:C67" si="0">_xlfn.XLOOKUP(A4,O:O,Q:Q,0)</f>
        <v>30.028985507246375</v>
      </c>
      <c r="D4" s="46">
        <f t="shared" ref="D4:D67" si="1">_xlfn.XLOOKUP(A4,W:W,Y:Y,0)</f>
        <v>0</v>
      </c>
      <c r="E4" s="46">
        <f t="shared" ref="E4:E67" si="2">_xlfn.XLOOKUP(A4,W:W,X:X,0)</f>
        <v>9.2000000000000011</v>
      </c>
      <c r="F4" s="46">
        <f t="shared" ref="F4:F67" si="3">_xlfn.XLOOKUP(A4,AA:AA,AB:AB,0)</f>
        <v>0</v>
      </c>
      <c r="G4" s="46">
        <f t="shared" ref="G4:G67" si="4">IFERROR((B4*100)-(SUM(C4:F4)),0)</f>
        <v>52.771014492753622</v>
      </c>
      <c r="H4" s="47">
        <f t="shared" ref="H4:H67" si="5">IFERROR(SUM(C4:G4),"")</f>
        <v>92</v>
      </c>
      <c r="I4" s="40">
        <f>IFERROR(_xlfn.XLOOKUP(A4,Staff_Name[Staff Member],Staff_Name[Target T:R Balance],""),"")</f>
        <v>0.5</v>
      </c>
      <c r="J4" s="40" t="str">
        <f>IFERROR(_xlfn.XLOOKUP(A4,Staff_Name[Staff Member],Staff_Name[Target Band],""),"")</f>
        <v>Balanced Teaching &amp; Research</v>
      </c>
      <c r="K4" s="40">
        <f t="shared" ref="K4:K67" si="6">IFERROR(ROUND(C4/(C4+G4),2),"")</f>
        <v>0.36</v>
      </c>
      <c r="L4" s="40" t="str">
        <f t="shared" ref="L4:L67" si="7">IF(K4&lt;=0.2,"Research Focused",IF(K4&lt;=0.79,"Balanced Teaching &amp; Research",IF(K4&lt;=1,"Teaching Focused","")))</f>
        <v>Balanced Teaching &amp; Research</v>
      </c>
      <c r="M4" s="40" t="str">
        <f t="shared" ref="M4:M67" si="8">IF(J4=L4,"No","Yes")</f>
        <v>No</v>
      </c>
      <c r="P4" s="30" t="s">
        <v>27</v>
      </c>
      <c r="Q4" s="30">
        <v>0</v>
      </c>
      <c r="R4" s="30">
        <v>0</v>
      </c>
      <c r="S4" s="30">
        <v>0</v>
      </c>
      <c r="T4" s="30">
        <v>0</v>
      </c>
      <c r="U4" s="30">
        <v>0</v>
      </c>
      <c r="W4" s="30" t="s">
        <v>28</v>
      </c>
      <c r="X4" s="30">
        <v>0</v>
      </c>
      <c r="Y4" s="30">
        <v>1.6666666666666667</v>
      </c>
      <c r="AA4" s="81" t="s">
        <v>828</v>
      </c>
      <c r="AB4" s="205">
        <v>0</v>
      </c>
      <c r="AC4"/>
    </row>
    <row r="5" spans="1:29" x14ac:dyDescent="0.25">
      <c r="A5" s="40" t="str">
        <v>Dummy, 03, 00000003</v>
      </c>
      <c r="B5" s="40">
        <f>_xlfn.XLOOKUP(A5,Staff_Name[Staff Member],Staff_Name[FTE],"")</f>
        <v>0.92</v>
      </c>
      <c r="C5" s="46">
        <f t="shared" si="0"/>
        <v>7.5362318840579707</v>
      </c>
      <c r="D5" s="46">
        <f t="shared" si="1"/>
        <v>0</v>
      </c>
      <c r="E5" s="46">
        <f t="shared" si="2"/>
        <v>9.2000000000000011</v>
      </c>
      <c r="F5" s="46">
        <f t="shared" si="3"/>
        <v>1</v>
      </c>
      <c r="G5" s="46">
        <f t="shared" si="4"/>
        <v>74.263768115942028</v>
      </c>
      <c r="H5" s="47">
        <f t="shared" si="5"/>
        <v>92</v>
      </c>
      <c r="I5" s="40">
        <f>IFERROR(_xlfn.XLOOKUP(A5,Staff_Name[Staff Member],Staff_Name[Target T:R Balance],""),"")</f>
        <v>0.5</v>
      </c>
      <c r="J5" s="40" t="str">
        <f>IFERROR(_xlfn.XLOOKUP(A5,Staff_Name[Staff Member],Staff_Name[Target Band],""),"")</f>
        <v>Balanced Teaching &amp; Research</v>
      </c>
      <c r="K5" s="40">
        <f t="shared" si="6"/>
        <v>0.09</v>
      </c>
      <c r="L5" s="40" t="str">
        <f t="shared" si="7"/>
        <v>Research Focused</v>
      </c>
      <c r="M5" s="40" t="str">
        <f t="shared" si="8"/>
        <v>Yes</v>
      </c>
      <c r="O5" s="30" t="s">
        <v>828</v>
      </c>
      <c r="Q5" s="30">
        <v>30.028985507246375</v>
      </c>
      <c r="R5" s="30">
        <v>0</v>
      </c>
      <c r="S5" s="30">
        <v>0</v>
      </c>
      <c r="T5" s="30">
        <v>0</v>
      </c>
      <c r="U5" s="30">
        <v>0</v>
      </c>
      <c r="W5" s="30" t="s">
        <v>824</v>
      </c>
      <c r="X5" s="30">
        <v>10</v>
      </c>
      <c r="Y5" s="30">
        <v>50</v>
      </c>
      <c r="AA5" s="81" t="s">
        <v>830</v>
      </c>
      <c r="AB5" s="205">
        <v>1</v>
      </c>
      <c r="AC5"/>
    </row>
    <row r="6" spans="1:29" x14ac:dyDescent="0.25">
      <c r="A6" s="40" t="str">
        <v>Dummy, 04, 00000004</v>
      </c>
      <c r="B6" s="40">
        <f>_xlfn.XLOOKUP(A6,Staff_Name[Staff Member],Staff_Name[FTE],"")</f>
        <v>1</v>
      </c>
      <c r="C6" s="46">
        <f t="shared" si="0"/>
        <v>6.4202898550724639</v>
      </c>
      <c r="D6" s="46">
        <f t="shared" si="1"/>
        <v>15.014492753623188</v>
      </c>
      <c r="E6" s="46">
        <f t="shared" si="2"/>
        <v>10</v>
      </c>
      <c r="F6" s="46">
        <f t="shared" si="3"/>
        <v>5</v>
      </c>
      <c r="G6" s="46">
        <f t="shared" si="4"/>
        <v>63.565217391304344</v>
      </c>
      <c r="H6" s="47">
        <f t="shared" si="5"/>
        <v>100</v>
      </c>
      <c r="I6" s="40">
        <f>IFERROR(_xlfn.XLOOKUP(A6,Staff_Name[Staff Member],Staff_Name[Target T:R Balance],""),"")</f>
        <v>0.5</v>
      </c>
      <c r="J6" s="40" t="str">
        <f>IFERROR(_xlfn.XLOOKUP(A6,Staff_Name[Staff Member],Staff_Name[Target Band],""),"")</f>
        <v>Balanced Teaching &amp; Research</v>
      </c>
      <c r="K6" s="40">
        <f t="shared" si="6"/>
        <v>0.09</v>
      </c>
      <c r="L6" s="40" t="str">
        <f t="shared" si="7"/>
        <v>Research Focused</v>
      </c>
      <c r="M6" s="40" t="str">
        <f t="shared" si="8"/>
        <v>Yes</v>
      </c>
      <c r="P6" s="30" t="s">
        <v>29</v>
      </c>
      <c r="Q6" s="30">
        <v>10.028985507246377</v>
      </c>
      <c r="R6" s="30">
        <v>0</v>
      </c>
      <c r="S6" s="30">
        <v>0</v>
      </c>
      <c r="T6" s="30">
        <v>0</v>
      </c>
      <c r="U6" s="30">
        <v>0</v>
      </c>
      <c r="W6" s="30" t="s">
        <v>828</v>
      </c>
      <c r="X6" s="30">
        <v>9.2000000000000011</v>
      </c>
      <c r="Y6" s="30">
        <v>0</v>
      </c>
      <c r="AA6" s="81" t="s">
        <v>825</v>
      </c>
      <c r="AB6" s="205">
        <v>5</v>
      </c>
      <c r="AC6"/>
    </row>
    <row r="7" spans="1:29" x14ac:dyDescent="0.25">
      <c r="A7" s="40" t="str">
        <v>Dummy, 05, 00000005</v>
      </c>
      <c r="B7" s="40">
        <f>_xlfn.XLOOKUP(A7,Staff_Name[Staff Member],Staff_Name[FTE],"")</f>
        <v>1</v>
      </c>
      <c r="C7" s="46">
        <f t="shared" si="0"/>
        <v>20</v>
      </c>
      <c r="D7" s="46">
        <f t="shared" si="1"/>
        <v>0</v>
      </c>
      <c r="E7" s="46">
        <f t="shared" si="2"/>
        <v>10</v>
      </c>
      <c r="F7" s="46">
        <f t="shared" si="3"/>
        <v>25.75</v>
      </c>
      <c r="G7" s="46">
        <f t="shared" si="4"/>
        <v>44.25</v>
      </c>
      <c r="H7" s="47">
        <f t="shared" si="5"/>
        <v>100</v>
      </c>
      <c r="I7" s="40">
        <f>IFERROR(_xlfn.XLOOKUP(A7,Staff_Name[Staff Member],Staff_Name[Target T:R Balance],""),"")</f>
        <v>0.5</v>
      </c>
      <c r="J7" s="40" t="str">
        <f>IFERROR(_xlfn.XLOOKUP(A7,Staff_Name[Staff Member],Staff_Name[Target Band],""),"")</f>
        <v>Balanced Teaching &amp; Research</v>
      </c>
      <c r="K7" s="40">
        <f t="shared" si="6"/>
        <v>0.31</v>
      </c>
      <c r="L7" s="40" t="str">
        <f t="shared" si="7"/>
        <v>Balanced Teaching &amp; Research</v>
      </c>
      <c r="M7" s="40" t="str">
        <f t="shared" si="8"/>
        <v>No</v>
      </c>
      <c r="P7" s="30" t="s">
        <v>30</v>
      </c>
      <c r="Q7" s="30">
        <v>20</v>
      </c>
      <c r="R7" s="30">
        <v>0</v>
      </c>
      <c r="S7" s="30">
        <v>0</v>
      </c>
      <c r="T7" s="30">
        <v>0</v>
      </c>
      <c r="U7" s="30">
        <v>0</v>
      </c>
      <c r="W7" s="30" t="s">
        <v>830</v>
      </c>
      <c r="X7" s="30">
        <v>9.2000000000000011</v>
      </c>
      <c r="Y7" s="30">
        <v>0</v>
      </c>
      <c r="AA7" s="81" t="s">
        <v>829</v>
      </c>
      <c r="AB7" s="205">
        <v>25.75</v>
      </c>
      <c r="AC7"/>
    </row>
    <row r="8" spans="1:29" x14ac:dyDescent="0.25">
      <c r="A8" s="40" t="str">
        <v>Dummy, 06, 00000006</v>
      </c>
      <c r="B8" s="40">
        <f>_xlfn.XLOOKUP(A8,Staff_Name[Staff Member],Staff_Name[FTE],"")</f>
        <v>1</v>
      </c>
      <c r="C8" s="46">
        <f t="shared" si="0"/>
        <v>54.510144927536231</v>
      </c>
      <c r="D8" s="46">
        <f t="shared" si="1"/>
        <v>0</v>
      </c>
      <c r="E8" s="46">
        <f t="shared" si="2"/>
        <v>10</v>
      </c>
      <c r="F8" s="46">
        <f t="shared" si="3"/>
        <v>1</v>
      </c>
      <c r="G8" s="46">
        <f t="shared" si="4"/>
        <v>34.489855072463769</v>
      </c>
      <c r="H8" s="47">
        <f t="shared" si="5"/>
        <v>100</v>
      </c>
      <c r="I8" s="40">
        <f>IFERROR(_xlfn.XLOOKUP(A8,Staff_Name[Staff Member],Staff_Name[Target T:R Balance],""),"")</f>
        <v>0.5</v>
      </c>
      <c r="J8" s="40" t="str">
        <f>IFERROR(_xlfn.XLOOKUP(A8,Staff_Name[Staff Member],Staff_Name[Target Band],""),"")</f>
        <v>Balanced Teaching &amp; Research</v>
      </c>
      <c r="K8" s="40">
        <f t="shared" si="6"/>
        <v>0.61</v>
      </c>
      <c r="L8" s="40" t="str">
        <f t="shared" si="7"/>
        <v>Balanced Teaching &amp; Research</v>
      </c>
      <c r="M8" s="40" t="str">
        <f t="shared" si="8"/>
        <v>No</v>
      </c>
      <c r="O8" s="30" t="s">
        <v>824</v>
      </c>
      <c r="Q8" s="30">
        <v>24.985507246376812</v>
      </c>
      <c r="R8" s="30">
        <v>0</v>
      </c>
      <c r="S8" s="30">
        <v>0</v>
      </c>
      <c r="T8" s="30">
        <v>4.9855072463768115</v>
      </c>
      <c r="U8" s="30">
        <v>0</v>
      </c>
      <c r="W8" s="30" t="s">
        <v>825</v>
      </c>
      <c r="X8" s="30">
        <v>10</v>
      </c>
      <c r="Y8" s="30">
        <v>15.014492753623188</v>
      </c>
      <c r="AA8" s="81" t="s">
        <v>826</v>
      </c>
      <c r="AB8" s="205">
        <v>1</v>
      </c>
      <c r="AC8"/>
    </row>
    <row r="9" spans="1:29" x14ac:dyDescent="0.25">
      <c r="A9" s="40" t="str">
        <v>Dummy, 07, 00000007</v>
      </c>
      <c r="B9" s="40">
        <f>_xlfn.XLOOKUP(A9,Staff_Name[Staff Member],Staff_Name[FTE],"")</f>
        <v>1</v>
      </c>
      <c r="C9" s="46">
        <f t="shared" si="0"/>
        <v>29.289855072463766</v>
      </c>
      <c r="D9" s="46">
        <f t="shared" si="1"/>
        <v>0</v>
      </c>
      <c r="E9" s="46">
        <f t="shared" si="2"/>
        <v>10</v>
      </c>
      <c r="F9" s="46">
        <f t="shared" si="3"/>
        <v>5.25</v>
      </c>
      <c r="G9" s="46">
        <f t="shared" si="4"/>
        <v>55.460144927536234</v>
      </c>
      <c r="H9" s="47">
        <f t="shared" si="5"/>
        <v>100</v>
      </c>
      <c r="I9" s="40">
        <f>IFERROR(_xlfn.XLOOKUP(A9,Staff_Name[Staff Member],Staff_Name[Target T:R Balance],""),"")</f>
        <v>0</v>
      </c>
      <c r="J9" s="40" t="str">
        <f>IFERROR(_xlfn.XLOOKUP(A9,Staff_Name[Staff Member],Staff_Name[Target Band],""),"")</f>
        <v>Research Focused</v>
      </c>
      <c r="K9" s="40">
        <f t="shared" si="6"/>
        <v>0.35</v>
      </c>
      <c r="L9" s="40" t="str">
        <f t="shared" si="7"/>
        <v>Balanced Teaching &amp; Research</v>
      </c>
      <c r="M9" s="40" t="str">
        <f t="shared" si="8"/>
        <v>Yes</v>
      </c>
      <c r="P9" s="30" t="s">
        <v>33</v>
      </c>
      <c r="Q9" s="30">
        <v>20</v>
      </c>
      <c r="R9" s="30">
        <v>0</v>
      </c>
      <c r="S9" s="30">
        <v>0</v>
      </c>
      <c r="T9" s="30">
        <v>0</v>
      </c>
      <c r="U9" s="30">
        <v>0</v>
      </c>
      <c r="W9" s="30" t="s">
        <v>829</v>
      </c>
      <c r="X9" s="30">
        <v>10</v>
      </c>
      <c r="Y9" s="30">
        <v>0</v>
      </c>
      <c r="AA9" s="81" t="s">
        <v>827</v>
      </c>
      <c r="AB9" s="205">
        <v>5.25</v>
      </c>
      <c r="AC9"/>
    </row>
    <row r="10" spans="1:29" x14ac:dyDescent="0.25">
      <c r="A10" s="40" t="str">
        <v>Dummy, 08, 00000008</v>
      </c>
      <c r="B10" s="40">
        <f>_xlfn.XLOOKUP(A10,Staff_Name[Staff Member],Staff_Name[FTE],"")</f>
        <v>1</v>
      </c>
      <c r="C10" s="46">
        <f t="shared" si="0"/>
        <v>21.936231884057971</v>
      </c>
      <c r="D10" s="46">
        <f t="shared" si="1"/>
        <v>0</v>
      </c>
      <c r="E10" s="46">
        <f t="shared" si="2"/>
        <v>10</v>
      </c>
      <c r="F10" s="46">
        <f t="shared" si="3"/>
        <v>8.25</v>
      </c>
      <c r="G10" s="46">
        <f t="shared" si="4"/>
        <v>59.813768115942025</v>
      </c>
      <c r="H10" s="47">
        <f t="shared" si="5"/>
        <v>100</v>
      </c>
      <c r="I10" s="40">
        <f>IFERROR(_xlfn.XLOOKUP(A10,Staff_Name[Staff Member],Staff_Name[Target T:R Balance],""),"")</f>
        <v>0.5</v>
      </c>
      <c r="J10" s="40" t="str">
        <f>IFERROR(_xlfn.XLOOKUP(A10,Staff_Name[Staff Member],Staff_Name[Target Band],""),"")</f>
        <v>Balanced Teaching &amp; Research</v>
      </c>
      <c r="K10" s="40">
        <f t="shared" si="6"/>
        <v>0.27</v>
      </c>
      <c r="L10" s="40" t="str">
        <f t="shared" si="7"/>
        <v>Balanced Teaching &amp; Research</v>
      </c>
      <c r="M10" s="40" t="str">
        <f t="shared" si="8"/>
        <v>No</v>
      </c>
      <c r="P10" s="30" t="s">
        <v>31</v>
      </c>
      <c r="Q10" s="30">
        <v>1.2463768115942029</v>
      </c>
      <c r="R10" s="30">
        <v>0</v>
      </c>
      <c r="S10" s="30">
        <v>0</v>
      </c>
      <c r="T10" s="30">
        <v>1.2463768115942029</v>
      </c>
      <c r="U10" s="30">
        <v>0</v>
      </c>
      <c r="W10" s="30" t="s">
        <v>826</v>
      </c>
      <c r="X10" s="30">
        <v>10</v>
      </c>
      <c r="Y10" s="30">
        <v>0</v>
      </c>
      <c r="AA10" s="81" t="s">
        <v>831</v>
      </c>
      <c r="AB10" s="205">
        <v>8.25</v>
      </c>
      <c r="AC10"/>
    </row>
    <row r="11" spans="1:29" x14ac:dyDescent="0.25">
      <c r="A11" s="40" t="str">
        <v>Dummy, 09, 00000009</v>
      </c>
      <c r="B11" s="40">
        <f>_xlfn.XLOOKUP(A11,Staff_Name[Staff Member],Staff_Name[FTE],"")</f>
        <v>1</v>
      </c>
      <c r="C11" s="46">
        <f t="shared" si="0"/>
        <v>10.028985507246377</v>
      </c>
      <c r="D11" s="46">
        <f t="shared" si="1"/>
        <v>59.072463768115938</v>
      </c>
      <c r="E11" s="46">
        <f t="shared" si="2"/>
        <v>10</v>
      </c>
      <c r="F11" s="46">
        <f t="shared" si="3"/>
        <v>3.75</v>
      </c>
      <c r="G11" s="46">
        <f t="shared" si="4"/>
        <v>17.148550724637687</v>
      </c>
      <c r="H11" s="47">
        <f t="shared" si="5"/>
        <v>100</v>
      </c>
      <c r="I11" s="40">
        <f>IFERROR(_xlfn.XLOOKUP(A11,Staff_Name[Staff Member],Staff_Name[Target T:R Balance],""),"")</f>
        <v>0.5</v>
      </c>
      <c r="J11" s="40" t="str">
        <f>IFERROR(_xlfn.XLOOKUP(A11,Staff_Name[Staff Member],Staff_Name[Target Band],""),"")</f>
        <v>Balanced Teaching &amp; Research</v>
      </c>
      <c r="K11" s="40">
        <f t="shared" si="6"/>
        <v>0.37</v>
      </c>
      <c r="L11" s="40" t="str">
        <f t="shared" si="7"/>
        <v>Balanced Teaching &amp; Research</v>
      </c>
      <c r="M11" s="40" t="str">
        <f t="shared" si="8"/>
        <v>No</v>
      </c>
      <c r="P11" s="30" t="s">
        <v>32</v>
      </c>
      <c r="Q11" s="30">
        <v>3.7391304347826089</v>
      </c>
      <c r="R11" s="30">
        <v>0</v>
      </c>
      <c r="S11" s="30">
        <v>0</v>
      </c>
      <c r="T11" s="30">
        <v>3.7391304347826089</v>
      </c>
      <c r="U11" s="30">
        <v>0</v>
      </c>
      <c r="W11" s="30" t="s">
        <v>827</v>
      </c>
      <c r="X11" s="30">
        <v>10</v>
      </c>
      <c r="Y11" s="30">
        <v>0</v>
      </c>
      <c r="AA11" s="81" t="s">
        <v>832</v>
      </c>
      <c r="AB11" s="205">
        <v>3.75</v>
      </c>
      <c r="AC11"/>
    </row>
    <row r="12" spans="1:29" x14ac:dyDescent="0.25">
      <c r="A12" s="40" t="str">
        <v>Dummy, 10, 00000010</v>
      </c>
      <c r="B12" s="40">
        <f>_xlfn.XLOOKUP(A12,Staff_Name[Staff Member],Staff_Name[FTE],"")</f>
        <v>1</v>
      </c>
      <c r="C12" s="46">
        <f t="shared" si="0"/>
        <v>0</v>
      </c>
      <c r="D12" s="46">
        <f t="shared" si="1"/>
        <v>0</v>
      </c>
      <c r="E12" s="46">
        <f t="shared" si="2"/>
        <v>10</v>
      </c>
      <c r="F12" s="46">
        <f t="shared" si="3"/>
        <v>0</v>
      </c>
      <c r="G12" s="46">
        <f t="shared" si="4"/>
        <v>90</v>
      </c>
      <c r="H12" s="47">
        <f t="shared" si="5"/>
        <v>100</v>
      </c>
      <c r="I12" s="40">
        <f>IFERROR(_xlfn.XLOOKUP(A12,Staff_Name[Staff Member],Staff_Name[Target T:R Balance],""),"")</f>
        <v>0</v>
      </c>
      <c r="J12" s="40" t="str">
        <f>IFERROR(_xlfn.XLOOKUP(A12,Staff_Name[Staff Member],Staff_Name[Target Band],""),"")</f>
        <v>Research Focused</v>
      </c>
      <c r="K12" s="40">
        <f t="shared" si="6"/>
        <v>0</v>
      </c>
      <c r="L12" s="40" t="str">
        <f t="shared" si="7"/>
        <v>Research Focused</v>
      </c>
      <c r="M12" s="40" t="str">
        <f t="shared" si="8"/>
        <v>No</v>
      </c>
      <c r="O12" s="30" t="s">
        <v>825</v>
      </c>
      <c r="Q12" s="30">
        <v>6.4202898550724639</v>
      </c>
      <c r="R12" s="30">
        <v>0</v>
      </c>
      <c r="S12" s="30">
        <v>0</v>
      </c>
      <c r="T12" s="30">
        <v>0.62318840579710144</v>
      </c>
      <c r="U12" s="30">
        <v>0</v>
      </c>
      <c r="W12" s="30" t="s">
        <v>831</v>
      </c>
      <c r="X12" s="30">
        <v>10</v>
      </c>
      <c r="Y12" s="30">
        <v>0</v>
      </c>
      <c r="AA12" s="81" t="s">
        <v>840</v>
      </c>
      <c r="AB12" s="205">
        <v>0</v>
      </c>
      <c r="AC12"/>
    </row>
    <row r="13" spans="1:29" x14ac:dyDescent="0.25">
      <c r="A13" s="40" t="str">
        <v>Dummy, 11, 00000011</v>
      </c>
      <c r="B13" s="40">
        <f>_xlfn.XLOOKUP(A13,Staff_Name[Staff Member],Staff_Name[FTE],"")</f>
        <v>1</v>
      </c>
      <c r="C13" s="46">
        <f t="shared" si="0"/>
        <v>1.6</v>
      </c>
      <c r="D13" s="46">
        <f t="shared" si="1"/>
        <v>8.1159420289855078</v>
      </c>
      <c r="E13" s="46">
        <f t="shared" si="2"/>
        <v>10</v>
      </c>
      <c r="F13" s="46">
        <f t="shared" si="3"/>
        <v>0</v>
      </c>
      <c r="G13" s="46">
        <f t="shared" si="4"/>
        <v>80.284057971014491</v>
      </c>
      <c r="H13" s="47">
        <f t="shared" si="5"/>
        <v>100</v>
      </c>
      <c r="I13" s="40">
        <f>IFERROR(_xlfn.XLOOKUP(A13,Staff_Name[Staff Member],Staff_Name[Target T:R Balance],""),"")</f>
        <v>0.5</v>
      </c>
      <c r="J13" s="40" t="str">
        <f>IFERROR(_xlfn.XLOOKUP(A13,Staff_Name[Staff Member],Staff_Name[Target Band],""),"")</f>
        <v>Balanced Teaching &amp; Research</v>
      </c>
      <c r="K13" s="40">
        <f t="shared" si="6"/>
        <v>0.02</v>
      </c>
      <c r="L13" s="40" t="str">
        <f t="shared" si="7"/>
        <v>Research Focused</v>
      </c>
      <c r="M13" s="40" t="str">
        <f t="shared" si="8"/>
        <v>Yes</v>
      </c>
      <c r="P13" s="30" t="s">
        <v>34</v>
      </c>
      <c r="Q13" s="30">
        <v>5.7971014492753623</v>
      </c>
      <c r="R13" s="30">
        <v>0</v>
      </c>
      <c r="S13" s="30">
        <v>0</v>
      </c>
      <c r="T13" s="30">
        <v>0</v>
      </c>
      <c r="U13" s="30">
        <v>0</v>
      </c>
      <c r="W13" s="30" t="s">
        <v>832</v>
      </c>
      <c r="X13" s="30">
        <v>10</v>
      </c>
      <c r="Y13" s="30">
        <v>59.072463768115938</v>
      </c>
      <c r="AA13" s="81" t="s">
        <v>835</v>
      </c>
      <c r="AB13" s="205">
        <v>0</v>
      </c>
      <c r="AC13"/>
    </row>
    <row r="14" spans="1:29" x14ac:dyDescent="0.25">
      <c r="A14" s="40" t="str">
        <v>Dummy, 12, 00000012</v>
      </c>
      <c r="B14" s="40">
        <f>_xlfn.XLOOKUP(A14,Staff_Name[Staff Member],Staff_Name[FTE],"")</f>
        <v>1</v>
      </c>
      <c r="C14" s="46">
        <f t="shared" si="0"/>
        <v>0</v>
      </c>
      <c r="D14" s="46">
        <f t="shared" si="1"/>
        <v>10.028985507246377</v>
      </c>
      <c r="E14" s="46">
        <f t="shared" si="2"/>
        <v>10</v>
      </c>
      <c r="F14" s="46">
        <f t="shared" si="3"/>
        <v>5</v>
      </c>
      <c r="G14" s="46">
        <f t="shared" si="4"/>
        <v>74.971014492753625</v>
      </c>
      <c r="H14" s="47">
        <f t="shared" si="5"/>
        <v>100</v>
      </c>
      <c r="I14" s="40">
        <f>IFERROR(_xlfn.XLOOKUP(A14,Staff_Name[Staff Member],Staff_Name[Target T:R Balance],""),"")</f>
        <v>0.5</v>
      </c>
      <c r="J14" s="40" t="str">
        <f>IFERROR(_xlfn.XLOOKUP(A14,Staff_Name[Staff Member],Staff_Name[Target Band],""),"")</f>
        <v>Balanced Teaching &amp; Research</v>
      </c>
      <c r="K14" s="40">
        <f t="shared" si="6"/>
        <v>0</v>
      </c>
      <c r="L14" s="40" t="str">
        <f t="shared" si="7"/>
        <v>Research Focused</v>
      </c>
      <c r="M14" s="40" t="str">
        <f t="shared" si="8"/>
        <v>Yes</v>
      </c>
      <c r="P14" s="30" t="s">
        <v>32</v>
      </c>
      <c r="Q14" s="30">
        <v>0.62318840579710144</v>
      </c>
      <c r="R14" s="30">
        <v>0</v>
      </c>
      <c r="S14" s="30">
        <v>0</v>
      </c>
      <c r="T14" s="30">
        <v>0.62318840579710144</v>
      </c>
      <c r="U14" s="30">
        <v>0</v>
      </c>
      <c r="W14" s="30" t="s">
        <v>840</v>
      </c>
      <c r="X14" s="30">
        <v>10</v>
      </c>
      <c r="Y14" s="30">
        <v>0</v>
      </c>
      <c r="AA14" s="81" t="s">
        <v>841</v>
      </c>
      <c r="AB14" s="205">
        <v>5</v>
      </c>
      <c r="AC14"/>
    </row>
    <row r="15" spans="1:29" x14ac:dyDescent="0.25">
      <c r="A15" s="40" t="str">
        <v>Dummy, 13, 00000013</v>
      </c>
      <c r="B15" s="40">
        <f>_xlfn.XLOOKUP(A15,Staff_Name[Staff Member],Staff_Name[FTE],"")</f>
        <v>1</v>
      </c>
      <c r="C15" s="46">
        <f t="shared" si="0"/>
        <v>16</v>
      </c>
      <c r="D15" s="46">
        <f t="shared" si="1"/>
        <v>6.666666666666667</v>
      </c>
      <c r="E15" s="46">
        <f t="shared" si="2"/>
        <v>10</v>
      </c>
      <c r="F15" s="46">
        <f t="shared" si="3"/>
        <v>7.5</v>
      </c>
      <c r="G15" s="46">
        <f t="shared" si="4"/>
        <v>59.833333333333329</v>
      </c>
      <c r="H15" s="47">
        <f t="shared" si="5"/>
        <v>100</v>
      </c>
      <c r="I15" s="40">
        <f>IFERROR(_xlfn.XLOOKUP(A15,Staff_Name[Staff Member],Staff_Name[Target T:R Balance],""),"")</f>
        <v>0.5</v>
      </c>
      <c r="J15" s="40" t="str">
        <f>IFERROR(_xlfn.XLOOKUP(A15,Staff_Name[Staff Member],Staff_Name[Target Band],""),"")</f>
        <v>Balanced Teaching &amp; Research</v>
      </c>
      <c r="K15" s="40">
        <f t="shared" si="6"/>
        <v>0.21</v>
      </c>
      <c r="L15" s="40" t="str">
        <f t="shared" si="7"/>
        <v>Balanced Teaching &amp; Research</v>
      </c>
      <c r="M15" s="40" t="str">
        <f t="shared" si="8"/>
        <v>No</v>
      </c>
      <c r="O15" s="30" t="s">
        <v>827</v>
      </c>
      <c r="Q15" s="30">
        <v>29.289855072463766</v>
      </c>
      <c r="R15" s="30">
        <v>0</v>
      </c>
      <c r="S15" s="30">
        <v>0</v>
      </c>
      <c r="T15" s="30">
        <v>4.36231884057971</v>
      </c>
      <c r="U15" s="30">
        <v>0</v>
      </c>
      <c r="W15" s="30" t="s">
        <v>835</v>
      </c>
      <c r="X15" s="30">
        <v>10</v>
      </c>
      <c r="Y15" s="30">
        <v>8.1159420289855078</v>
      </c>
      <c r="AA15" s="81" t="s">
        <v>838</v>
      </c>
      <c r="AB15" s="205">
        <v>7.5</v>
      </c>
      <c r="AC15"/>
    </row>
    <row r="16" spans="1:29" x14ac:dyDescent="0.25">
      <c r="A16" s="40" t="str">
        <v>Dummy, 14, 00000014</v>
      </c>
      <c r="B16" s="40">
        <f>_xlfn.XLOOKUP(A16,Staff_Name[Staff Member],Staff_Name[FTE],"")</f>
        <v>1</v>
      </c>
      <c r="C16" s="46">
        <f t="shared" si="0"/>
        <v>30.4</v>
      </c>
      <c r="D16" s="46">
        <f t="shared" si="1"/>
        <v>0</v>
      </c>
      <c r="E16" s="46">
        <f t="shared" si="2"/>
        <v>10</v>
      </c>
      <c r="F16" s="46">
        <f t="shared" si="3"/>
        <v>2.5</v>
      </c>
      <c r="G16" s="46">
        <f t="shared" si="4"/>
        <v>57.1</v>
      </c>
      <c r="H16" s="47">
        <f t="shared" si="5"/>
        <v>100</v>
      </c>
      <c r="I16" s="40">
        <f>IFERROR(_xlfn.XLOOKUP(A16,Staff_Name[Staff Member],Staff_Name[Target T:R Balance],""),"")</f>
        <v>0.9</v>
      </c>
      <c r="J16" s="40" t="str">
        <f>IFERROR(_xlfn.XLOOKUP(A16,Staff_Name[Staff Member],Staff_Name[Target Band],""),"")</f>
        <v>Teaching Focused</v>
      </c>
      <c r="K16" s="40">
        <f t="shared" si="6"/>
        <v>0.35</v>
      </c>
      <c r="L16" s="40" t="str">
        <f t="shared" si="7"/>
        <v>Balanced Teaching &amp; Research</v>
      </c>
      <c r="M16" s="40" t="str">
        <f t="shared" si="8"/>
        <v>Yes</v>
      </c>
      <c r="P16" s="30" t="s">
        <v>32</v>
      </c>
      <c r="Q16" s="30">
        <v>3.1159420289855073</v>
      </c>
      <c r="R16" s="30">
        <v>0</v>
      </c>
      <c r="S16" s="30">
        <v>0</v>
      </c>
      <c r="T16" s="30">
        <v>3.1159420289855073</v>
      </c>
      <c r="U16" s="30">
        <v>0</v>
      </c>
      <c r="W16" s="30" t="s">
        <v>841</v>
      </c>
      <c r="X16" s="30">
        <v>10</v>
      </c>
      <c r="Y16" s="30">
        <v>10.028985507246377</v>
      </c>
      <c r="AA16" s="81" t="s">
        <v>836</v>
      </c>
      <c r="AB16" s="205">
        <v>2.5</v>
      </c>
      <c r="AC16"/>
    </row>
    <row r="17" spans="1:29" x14ac:dyDescent="0.25">
      <c r="A17" s="40" t="str">
        <v>Dummy, 15, 00000015</v>
      </c>
      <c r="B17" s="40">
        <f>_xlfn.XLOOKUP(A17,Staff_Name[Staff Member],Staff_Name[FTE],"")</f>
        <v>1</v>
      </c>
      <c r="C17" s="46">
        <f t="shared" si="0"/>
        <v>1.6</v>
      </c>
      <c r="D17" s="46">
        <f t="shared" si="1"/>
        <v>0</v>
      </c>
      <c r="E17" s="46">
        <f t="shared" si="2"/>
        <v>10</v>
      </c>
      <c r="F17" s="46">
        <f t="shared" si="3"/>
        <v>0</v>
      </c>
      <c r="G17" s="46">
        <f t="shared" si="4"/>
        <v>88.4</v>
      </c>
      <c r="H17" s="47">
        <f t="shared" si="5"/>
        <v>100</v>
      </c>
      <c r="I17" s="40">
        <f>IFERROR(_xlfn.XLOOKUP(A17,Staff_Name[Staff Member],Staff_Name[Target T:R Balance],""),"")</f>
        <v>0.5</v>
      </c>
      <c r="J17" s="40" t="str">
        <f>IFERROR(_xlfn.XLOOKUP(A17,Staff_Name[Staff Member],Staff_Name[Target Band],""),"")</f>
        <v>Balanced Teaching &amp; Research</v>
      </c>
      <c r="K17" s="40">
        <f t="shared" si="6"/>
        <v>0.02</v>
      </c>
      <c r="L17" s="40" t="str">
        <f t="shared" si="7"/>
        <v>Research Focused</v>
      </c>
      <c r="M17" s="40" t="str">
        <f t="shared" si="8"/>
        <v>Yes</v>
      </c>
      <c r="P17" s="30" t="s">
        <v>40</v>
      </c>
      <c r="Q17" s="30">
        <v>1.2463768115942029</v>
      </c>
      <c r="R17" s="30">
        <v>0</v>
      </c>
      <c r="S17" s="30">
        <v>0</v>
      </c>
      <c r="T17" s="30">
        <v>1.2463768115942029</v>
      </c>
      <c r="U17" s="30">
        <v>0</v>
      </c>
      <c r="W17" s="30" t="s">
        <v>838</v>
      </c>
      <c r="X17" s="30">
        <v>10</v>
      </c>
      <c r="Y17" s="30">
        <v>6.666666666666667</v>
      </c>
      <c r="AA17" s="81" t="s">
        <v>837</v>
      </c>
      <c r="AB17" s="205">
        <v>0</v>
      </c>
      <c r="AC17"/>
    </row>
    <row r="18" spans="1:29" x14ac:dyDescent="0.25">
      <c r="A18" s="40" t="str">
        <v>Dummy, 16, 00000016</v>
      </c>
      <c r="B18" s="40">
        <f>_xlfn.XLOOKUP(A18,Staff_Name[Staff Member],Staff_Name[FTE],"")</f>
        <v>0.96</v>
      </c>
      <c r="C18" s="46">
        <f t="shared" si="0"/>
        <v>13.257971014492753</v>
      </c>
      <c r="D18" s="46">
        <f t="shared" si="1"/>
        <v>12.173913043478262</v>
      </c>
      <c r="E18" s="46">
        <f t="shared" si="2"/>
        <v>9.6</v>
      </c>
      <c r="F18" s="46">
        <f t="shared" si="3"/>
        <v>18.5</v>
      </c>
      <c r="G18" s="46">
        <f t="shared" si="4"/>
        <v>42.468115942028987</v>
      </c>
      <c r="H18" s="47">
        <f t="shared" si="5"/>
        <v>96</v>
      </c>
      <c r="I18" s="40">
        <f>IFERROR(_xlfn.XLOOKUP(A18,Staff_Name[Staff Member],Staff_Name[Target T:R Balance],""),"")</f>
        <v>0.5</v>
      </c>
      <c r="J18" s="40" t="str">
        <f>IFERROR(_xlfn.XLOOKUP(A18,Staff_Name[Staff Member],Staff_Name[Target Band],""),"")</f>
        <v>Balanced Teaching &amp; Research</v>
      </c>
      <c r="K18" s="40">
        <f t="shared" si="6"/>
        <v>0.24</v>
      </c>
      <c r="L18" s="40" t="str">
        <f t="shared" si="7"/>
        <v>Balanced Teaching &amp; Research</v>
      </c>
      <c r="M18" s="40" t="str">
        <f t="shared" si="8"/>
        <v>No</v>
      </c>
      <c r="P18" s="30" t="s">
        <v>89</v>
      </c>
      <c r="Q18" s="30">
        <v>12.463768115942029</v>
      </c>
      <c r="R18" s="30">
        <v>0</v>
      </c>
      <c r="S18" s="30">
        <v>0</v>
      </c>
      <c r="T18" s="30">
        <v>0</v>
      </c>
      <c r="U18" s="30">
        <v>0</v>
      </c>
      <c r="W18" s="30" t="s">
        <v>836</v>
      </c>
      <c r="X18" s="30">
        <v>10</v>
      </c>
      <c r="Y18" s="30">
        <v>0</v>
      </c>
      <c r="AA18" s="81" t="s">
        <v>834</v>
      </c>
      <c r="AB18" s="205">
        <v>18.5</v>
      </c>
      <c r="AC18"/>
    </row>
    <row r="19" spans="1:29" x14ac:dyDescent="0.25">
      <c r="A19" s="40" t="str">
        <v>Dummy, 17, 00000017</v>
      </c>
      <c r="B19" s="40">
        <f>_xlfn.XLOOKUP(A19,Staff_Name[Staff Member],Staff_Name[FTE],"")</f>
        <v>0.8</v>
      </c>
      <c r="C19" s="46">
        <f t="shared" si="0"/>
        <v>7.1884057971014492</v>
      </c>
      <c r="D19" s="46">
        <f t="shared" si="1"/>
        <v>10.028985507246377</v>
      </c>
      <c r="E19" s="46">
        <f t="shared" si="2"/>
        <v>8</v>
      </c>
      <c r="F19" s="46">
        <f t="shared" si="3"/>
        <v>4</v>
      </c>
      <c r="G19" s="46">
        <f t="shared" si="4"/>
        <v>50.782608695652172</v>
      </c>
      <c r="H19" s="47">
        <f t="shared" si="5"/>
        <v>80</v>
      </c>
      <c r="I19" s="40">
        <f>IFERROR(_xlfn.XLOOKUP(A19,Staff_Name[Staff Member],Staff_Name[Target T:R Balance],""),"")</f>
        <v>0.5</v>
      </c>
      <c r="J19" s="40" t="str">
        <f>IFERROR(_xlfn.XLOOKUP(A19,Staff_Name[Staff Member],Staff_Name[Target Band],""),"")</f>
        <v>Balanced Teaching &amp; Research</v>
      </c>
      <c r="K19" s="40">
        <f t="shared" si="6"/>
        <v>0.12</v>
      </c>
      <c r="L19" s="40" t="str">
        <f t="shared" si="7"/>
        <v>Research Focused</v>
      </c>
      <c r="M19" s="40" t="str">
        <f t="shared" si="8"/>
        <v>Yes</v>
      </c>
      <c r="P19" s="30" t="s">
        <v>95</v>
      </c>
      <c r="Q19" s="30">
        <v>12.463768115942029</v>
      </c>
      <c r="R19" s="30">
        <v>0</v>
      </c>
      <c r="S19" s="30">
        <v>0</v>
      </c>
      <c r="T19" s="30">
        <v>0</v>
      </c>
      <c r="U19" s="30">
        <v>0</v>
      </c>
      <c r="W19" s="30" t="s">
        <v>837</v>
      </c>
      <c r="X19" s="30">
        <v>10</v>
      </c>
      <c r="Y19" s="30">
        <v>0</v>
      </c>
      <c r="AA19" s="81" t="s">
        <v>839</v>
      </c>
      <c r="AB19" s="205">
        <v>4</v>
      </c>
      <c r="AC19"/>
    </row>
    <row r="20" spans="1:29" x14ac:dyDescent="0.25">
      <c r="A20" s="40" t="str">
        <v>Dummy, 18, 00000018</v>
      </c>
      <c r="B20" s="40">
        <f>_xlfn.XLOOKUP(A20,Staff_Name[Staff Member],Staff_Name[FTE],"")</f>
        <v>1</v>
      </c>
      <c r="C20" s="46">
        <f t="shared" si="0"/>
        <v>17.600000000000001</v>
      </c>
      <c r="D20" s="46">
        <f t="shared" si="1"/>
        <v>0</v>
      </c>
      <c r="E20" s="46">
        <f t="shared" si="2"/>
        <v>10</v>
      </c>
      <c r="F20" s="46">
        <f t="shared" si="3"/>
        <v>0</v>
      </c>
      <c r="G20" s="46">
        <f t="shared" si="4"/>
        <v>72.400000000000006</v>
      </c>
      <c r="H20" s="47">
        <f t="shared" si="5"/>
        <v>100</v>
      </c>
      <c r="I20" s="40">
        <f>IFERROR(_xlfn.XLOOKUP(A20,Staff_Name[Staff Member],Staff_Name[Target T:R Balance],""),"")</f>
        <v>0</v>
      </c>
      <c r="J20" s="40" t="str">
        <f>IFERROR(_xlfn.XLOOKUP(A20,Staff_Name[Staff Member],Staff_Name[Target Band],""),"")</f>
        <v>Research Focused</v>
      </c>
      <c r="K20" s="40">
        <f t="shared" si="6"/>
        <v>0.2</v>
      </c>
      <c r="L20" s="40" t="str">
        <f t="shared" si="7"/>
        <v>Research Focused</v>
      </c>
      <c r="M20" s="40" t="str">
        <f t="shared" si="8"/>
        <v>No</v>
      </c>
      <c r="O20" s="30" t="s">
        <v>829</v>
      </c>
      <c r="Q20" s="30">
        <v>20</v>
      </c>
      <c r="R20" s="30">
        <v>0</v>
      </c>
      <c r="S20" s="30">
        <v>0</v>
      </c>
      <c r="T20" s="30">
        <v>0</v>
      </c>
      <c r="U20" s="30">
        <v>0</v>
      </c>
      <c r="W20" s="30" t="s">
        <v>834</v>
      </c>
      <c r="X20" s="30">
        <v>9.6</v>
      </c>
      <c r="Y20" s="30">
        <v>12.173913043478262</v>
      </c>
      <c r="AA20" s="81" t="s">
        <v>833</v>
      </c>
      <c r="AB20" s="205">
        <v>0</v>
      </c>
    </row>
    <row r="21" spans="1:29" x14ac:dyDescent="0.25">
      <c r="A21" s="40" t="str">
        <v xml:space="preserve">, </v>
      </c>
      <c r="B21" s="40">
        <f>_xlfn.XLOOKUP(A21,Staff_Name[Staff Member],Staff_Name[FTE],"")</f>
        <v>0</v>
      </c>
      <c r="C21" s="46">
        <f t="shared" si="0"/>
        <v>0</v>
      </c>
      <c r="D21" s="46">
        <f t="shared" si="1"/>
        <v>1.6666666666666667</v>
      </c>
      <c r="E21" s="46">
        <f t="shared" si="2"/>
        <v>0</v>
      </c>
      <c r="F21" s="46">
        <f t="shared" si="3"/>
        <v>0</v>
      </c>
      <c r="G21" s="46">
        <f t="shared" si="4"/>
        <v>-1.6666666666666667</v>
      </c>
      <c r="H21" s="47">
        <f t="shared" si="5"/>
        <v>0</v>
      </c>
      <c r="I21" s="40">
        <f>IFERROR(_xlfn.XLOOKUP(A21,Staff_Name[Staff Member],Staff_Name[Target T:R Balance],""),"")</f>
        <v>0</v>
      </c>
      <c r="J21" s="40">
        <f>IFERROR(_xlfn.XLOOKUP(A21,Staff_Name[Staff Member],Staff_Name[Target Band],""),"")</f>
        <v>0</v>
      </c>
      <c r="K21" s="40">
        <f t="shared" si="6"/>
        <v>0</v>
      </c>
      <c r="L21" s="40" t="str">
        <f t="shared" si="7"/>
        <v>Research Focused</v>
      </c>
      <c r="M21" s="40" t="str">
        <f t="shared" si="8"/>
        <v>Yes</v>
      </c>
      <c r="P21" s="30" t="s">
        <v>89</v>
      </c>
      <c r="Q21" s="30">
        <v>20</v>
      </c>
      <c r="R21" s="30">
        <v>0</v>
      </c>
      <c r="S21" s="30">
        <v>0</v>
      </c>
      <c r="T21" s="30">
        <v>0</v>
      </c>
      <c r="U21" s="30">
        <v>0</v>
      </c>
      <c r="W21" s="30" t="s">
        <v>839</v>
      </c>
      <c r="X21" s="30">
        <v>8</v>
      </c>
      <c r="Y21" s="30">
        <v>10.028985507246377</v>
      </c>
      <c r="AA21" s="81" t="s">
        <v>77</v>
      </c>
      <c r="AB21" s="205">
        <v>91.5</v>
      </c>
    </row>
    <row r="22" spans="1:29" x14ac:dyDescent="0.25">
      <c r="A22" s="40">
        <v>0</v>
      </c>
      <c r="B22" s="40" t="str">
        <f>_xlfn.XLOOKUP(A22,Staff_Name[Staff Member],Staff_Name[FTE],"")</f>
        <v/>
      </c>
      <c r="C22" s="46">
        <f t="shared" si="0"/>
        <v>0</v>
      </c>
      <c r="D22" s="46">
        <f t="shared" si="1"/>
        <v>89.101449275362327</v>
      </c>
      <c r="E22" s="46">
        <f t="shared" si="2"/>
        <v>0</v>
      </c>
      <c r="F22" s="46">
        <f t="shared" si="3"/>
        <v>0</v>
      </c>
      <c r="G22" s="46">
        <f t="shared" si="4"/>
        <v>0</v>
      </c>
      <c r="H22" s="47">
        <f t="shared" si="5"/>
        <v>89.101449275362327</v>
      </c>
      <c r="I22" s="40" t="str">
        <f>IFERROR(_xlfn.XLOOKUP(A22,Staff_Name[Staff Member],Staff_Name[Target T:R Balance],""),"")</f>
        <v/>
      </c>
      <c r="J22" s="40" t="str">
        <f>IFERROR(_xlfn.XLOOKUP(A22,Staff_Name[Staff Member],Staff_Name[Target Band],""),"")</f>
        <v/>
      </c>
      <c r="K22" s="40" t="str">
        <f t="shared" si="6"/>
        <v/>
      </c>
      <c r="L22" s="40" t="str">
        <f t="shared" si="7"/>
        <v/>
      </c>
      <c r="M22" s="40" t="str">
        <f t="shared" si="8"/>
        <v>No</v>
      </c>
      <c r="O22" s="30" t="s">
        <v>830</v>
      </c>
      <c r="Q22" s="30">
        <v>7.5362318840579707</v>
      </c>
      <c r="R22" s="30">
        <v>0</v>
      </c>
      <c r="S22" s="30">
        <v>0</v>
      </c>
      <c r="T22" s="30">
        <v>0</v>
      </c>
      <c r="U22" s="30">
        <v>0</v>
      </c>
      <c r="W22" s="30" t="s">
        <v>833</v>
      </c>
      <c r="X22" s="30">
        <v>10</v>
      </c>
      <c r="Y22" s="30">
        <v>0</v>
      </c>
      <c r="AA22"/>
      <c r="AB22"/>
    </row>
    <row r="23" spans="1:29" x14ac:dyDescent="0.25">
      <c r="A23" s="40">
        <v>0</v>
      </c>
      <c r="B23" s="40" t="str">
        <f>_xlfn.XLOOKUP(A23,Staff_Name[Staff Member],Staff_Name[FTE],"")</f>
        <v/>
      </c>
      <c r="C23" s="46">
        <f t="shared" si="0"/>
        <v>0</v>
      </c>
      <c r="D23" s="46">
        <f t="shared" si="1"/>
        <v>89.101449275362327</v>
      </c>
      <c r="E23" s="46">
        <f t="shared" si="2"/>
        <v>0</v>
      </c>
      <c r="F23" s="46">
        <f t="shared" si="3"/>
        <v>0</v>
      </c>
      <c r="G23" s="46">
        <f t="shared" si="4"/>
        <v>0</v>
      </c>
      <c r="H23" s="47">
        <f t="shared" si="5"/>
        <v>89.101449275362327</v>
      </c>
      <c r="I23" s="40" t="str">
        <f>IFERROR(_xlfn.XLOOKUP(A23,Staff_Name[Staff Member],Staff_Name[Target T:R Balance],""),"")</f>
        <v/>
      </c>
      <c r="J23" s="40" t="str">
        <f>IFERROR(_xlfn.XLOOKUP(A23,Staff_Name[Staff Member],Staff_Name[Target Band],""),"")</f>
        <v/>
      </c>
      <c r="K23" s="40" t="str">
        <f t="shared" si="6"/>
        <v/>
      </c>
      <c r="L23" s="40" t="str">
        <f t="shared" si="7"/>
        <v/>
      </c>
      <c r="M23" s="40" t="str">
        <f t="shared" si="8"/>
        <v>No</v>
      </c>
      <c r="P23" s="30" t="s">
        <v>89</v>
      </c>
      <c r="Q23" s="30">
        <v>7.5362318840579707</v>
      </c>
      <c r="R23" s="30">
        <v>0</v>
      </c>
      <c r="S23" s="30">
        <v>0</v>
      </c>
      <c r="T23" s="30">
        <v>0</v>
      </c>
      <c r="U23" s="30">
        <v>0</v>
      </c>
      <c r="W23" s="30" t="s">
        <v>27</v>
      </c>
      <c r="X23" s="30">
        <v>0</v>
      </c>
      <c r="Y23" s="30">
        <v>385.53913043478258</v>
      </c>
      <c r="AA23"/>
      <c r="AB23"/>
    </row>
    <row r="24" spans="1:29" x14ac:dyDescent="0.25">
      <c r="A24" s="40">
        <v>0</v>
      </c>
      <c r="B24" s="40" t="str">
        <f>_xlfn.XLOOKUP(A24,Staff_Name[Staff Member],Staff_Name[FTE],"")</f>
        <v/>
      </c>
      <c r="C24" s="46">
        <f t="shared" si="0"/>
        <v>0</v>
      </c>
      <c r="D24" s="46">
        <f t="shared" si="1"/>
        <v>89.101449275362327</v>
      </c>
      <c r="E24" s="46">
        <f t="shared" si="2"/>
        <v>0</v>
      </c>
      <c r="F24" s="46">
        <f t="shared" si="3"/>
        <v>0</v>
      </c>
      <c r="G24" s="46">
        <f t="shared" si="4"/>
        <v>0</v>
      </c>
      <c r="H24" s="47">
        <f t="shared" si="5"/>
        <v>89.101449275362327</v>
      </c>
      <c r="I24" s="40" t="str">
        <f>IFERROR(_xlfn.XLOOKUP(A24,Staff_Name[Staff Member],Staff_Name[Target T:R Balance],""),"")</f>
        <v/>
      </c>
      <c r="J24" s="40" t="str">
        <f>IFERROR(_xlfn.XLOOKUP(A24,Staff_Name[Staff Member],Staff_Name[Target Band],""),"")</f>
        <v/>
      </c>
      <c r="K24" s="40" t="str">
        <f t="shared" si="6"/>
        <v/>
      </c>
      <c r="L24" s="40" t="str">
        <f t="shared" si="7"/>
        <v/>
      </c>
      <c r="M24" s="40" t="str">
        <f t="shared" si="8"/>
        <v>No</v>
      </c>
      <c r="O24" s="30" t="s">
        <v>826</v>
      </c>
      <c r="Q24" s="30">
        <v>54.510144927536231</v>
      </c>
      <c r="R24" s="30">
        <v>0</v>
      </c>
      <c r="S24" s="30">
        <v>0</v>
      </c>
      <c r="T24" s="30">
        <v>1.2463768115942029</v>
      </c>
      <c r="U24" s="30">
        <v>0</v>
      </c>
      <c r="W24" s="30" t="s">
        <v>77</v>
      </c>
      <c r="X24" s="30">
        <v>176</v>
      </c>
      <c r="Y24" s="30">
        <v>647.40869565217395</v>
      </c>
      <c r="AA24"/>
      <c r="AB24"/>
    </row>
    <row r="25" spans="1:29" x14ac:dyDescent="0.25">
      <c r="A25" s="40">
        <v>0</v>
      </c>
      <c r="B25" s="40" t="str">
        <f>_xlfn.XLOOKUP(A25,Staff_Name[Staff Member],Staff_Name[FTE],"")</f>
        <v/>
      </c>
      <c r="C25" s="46">
        <f t="shared" si="0"/>
        <v>0</v>
      </c>
      <c r="D25" s="46">
        <f t="shared" si="1"/>
        <v>89.101449275362327</v>
      </c>
      <c r="E25" s="46">
        <f t="shared" si="2"/>
        <v>0</v>
      </c>
      <c r="F25" s="46">
        <f t="shared" si="3"/>
        <v>0</v>
      </c>
      <c r="G25" s="46">
        <f t="shared" si="4"/>
        <v>0</v>
      </c>
      <c r="H25" s="47">
        <f t="shared" si="5"/>
        <v>89.101449275362327</v>
      </c>
      <c r="I25" s="40" t="str">
        <f>IFERROR(_xlfn.XLOOKUP(A25,Staff_Name[Staff Member],Staff_Name[Target T:R Balance],""),"")</f>
        <v/>
      </c>
      <c r="J25" s="40" t="str">
        <f>IFERROR(_xlfn.XLOOKUP(A25,Staff_Name[Staff Member],Staff_Name[Target Band],""),"")</f>
        <v/>
      </c>
      <c r="K25" s="40" t="str">
        <f t="shared" si="6"/>
        <v/>
      </c>
      <c r="L25" s="40" t="str">
        <f t="shared" si="7"/>
        <v/>
      </c>
      <c r="M25" s="40" t="str">
        <f t="shared" si="8"/>
        <v>No</v>
      </c>
      <c r="P25" s="30" t="s">
        <v>40</v>
      </c>
      <c r="Q25" s="30">
        <v>0.62318840579710144</v>
      </c>
      <c r="R25" s="30">
        <v>0</v>
      </c>
      <c r="S25" s="30">
        <v>0</v>
      </c>
      <c r="T25" s="30">
        <v>0.62318840579710144</v>
      </c>
      <c r="U25" s="30">
        <v>0</v>
      </c>
      <c r="W25"/>
      <c r="X25"/>
      <c r="Y25"/>
      <c r="AA25"/>
      <c r="AB25"/>
    </row>
    <row r="26" spans="1:29" x14ac:dyDescent="0.25">
      <c r="A26" s="40">
        <v>0</v>
      </c>
      <c r="B26" s="40" t="str">
        <f>_xlfn.XLOOKUP(A26,Staff_Name[Staff Member],Staff_Name[FTE],"")</f>
        <v/>
      </c>
      <c r="C26" s="46">
        <f t="shared" si="0"/>
        <v>0</v>
      </c>
      <c r="D26" s="46">
        <f t="shared" si="1"/>
        <v>89.101449275362327</v>
      </c>
      <c r="E26" s="46">
        <f t="shared" si="2"/>
        <v>0</v>
      </c>
      <c r="F26" s="46">
        <f t="shared" si="3"/>
        <v>0</v>
      </c>
      <c r="G26" s="46">
        <f t="shared" si="4"/>
        <v>0</v>
      </c>
      <c r="H26" s="47">
        <f t="shared" si="5"/>
        <v>89.101449275362327</v>
      </c>
      <c r="I26" s="40" t="str">
        <f>IFERROR(_xlfn.XLOOKUP(A26,Staff_Name[Staff Member],Staff_Name[Target T:R Balance],""),"")</f>
        <v/>
      </c>
      <c r="J26" s="40" t="str">
        <f>IFERROR(_xlfn.XLOOKUP(A26,Staff_Name[Staff Member],Staff_Name[Target Band],""),"")</f>
        <v/>
      </c>
      <c r="K26" s="40" t="str">
        <f t="shared" si="6"/>
        <v/>
      </c>
      <c r="L26" s="40" t="str">
        <f t="shared" si="7"/>
        <v/>
      </c>
      <c r="M26" s="40" t="str">
        <f t="shared" si="8"/>
        <v>No</v>
      </c>
      <c r="P26" s="30" t="s">
        <v>95</v>
      </c>
      <c r="Q26" s="30">
        <v>20</v>
      </c>
      <c r="R26" s="30">
        <v>0</v>
      </c>
      <c r="S26" s="30">
        <v>0</v>
      </c>
      <c r="T26" s="30">
        <v>0</v>
      </c>
      <c r="U26" s="30">
        <v>0</v>
      </c>
      <c r="W26"/>
      <c r="X26"/>
      <c r="Y26"/>
      <c r="AA26"/>
      <c r="AB26"/>
    </row>
    <row r="27" spans="1:29" x14ac:dyDescent="0.25">
      <c r="A27" s="40">
        <v>0</v>
      </c>
      <c r="B27" s="40" t="str">
        <f>_xlfn.XLOOKUP(A27,Staff_Name[Staff Member],Staff_Name[FTE],"")</f>
        <v/>
      </c>
      <c r="C27" s="46">
        <f t="shared" si="0"/>
        <v>0</v>
      </c>
      <c r="D27" s="46">
        <f t="shared" si="1"/>
        <v>89.101449275362327</v>
      </c>
      <c r="E27" s="46">
        <f t="shared" si="2"/>
        <v>0</v>
      </c>
      <c r="F27" s="46">
        <f t="shared" si="3"/>
        <v>0</v>
      </c>
      <c r="G27" s="46">
        <f t="shared" si="4"/>
        <v>0</v>
      </c>
      <c r="H27" s="47">
        <f t="shared" si="5"/>
        <v>89.101449275362327</v>
      </c>
      <c r="I27" s="40" t="str">
        <f>IFERROR(_xlfn.XLOOKUP(A27,Staff_Name[Staff Member],Staff_Name[Target T:R Balance],""),"")</f>
        <v/>
      </c>
      <c r="J27" s="40" t="str">
        <f>IFERROR(_xlfn.XLOOKUP(A27,Staff_Name[Staff Member],Staff_Name[Target Band],""),"")</f>
        <v/>
      </c>
      <c r="K27" s="40" t="str">
        <f t="shared" si="6"/>
        <v/>
      </c>
      <c r="L27" s="40" t="str">
        <f t="shared" si="7"/>
        <v/>
      </c>
      <c r="M27" s="40" t="str">
        <f t="shared" si="8"/>
        <v>No</v>
      </c>
      <c r="P27" s="30" t="s">
        <v>107</v>
      </c>
      <c r="Q27" s="30">
        <v>32.463768115942031</v>
      </c>
      <c r="R27" s="30">
        <v>0</v>
      </c>
      <c r="S27" s="30">
        <v>0</v>
      </c>
      <c r="T27" s="30">
        <v>0</v>
      </c>
      <c r="U27" s="30">
        <v>0</v>
      </c>
      <c r="W27"/>
      <c r="X27"/>
      <c r="Y27"/>
      <c r="AA27"/>
      <c r="AB27"/>
    </row>
    <row r="28" spans="1:29" x14ac:dyDescent="0.25">
      <c r="A28" s="40">
        <v>0</v>
      </c>
      <c r="B28" s="40" t="str">
        <f>_xlfn.XLOOKUP(A28,Staff_Name[Staff Member],Staff_Name[FTE],"")</f>
        <v/>
      </c>
      <c r="C28" s="46">
        <f t="shared" si="0"/>
        <v>0</v>
      </c>
      <c r="D28" s="46">
        <f t="shared" si="1"/>
        <v>89.101449275362327</v>
      </c>
      <c r="E28" s="46">
        <f t="shared" si="2"/>
        <v>0</v>
      </c>
      <c r="F28" s="46">
        <f t="shared" si="3"/>
        <v>0</v>
      </c>
      <c r="G28" s="46">
        <f t="shared" si="4"/>
        <v>0</v>
      </c>
      <c r="H28" s="47">
        <f t="shared" si="5"/>
        <v>89.101449275362327</v>
      </c>
      <c r="I28" s="40" t="str">
        <f>IFERROR(_xlfn.XLOOKUP(A28,Staff_Name[Staff Member],Staff_Name[Target T:R Balance],""),"")</f>
        <v/>
      </c>
      <c r="J28" s="40" t="str">
        <f>IFERROR(_xlfn.XLOOKUP(A28,Staff_Name[Staff Member],Staff_Name[Target Band],""),"")</f>
        <v/>
      </c>
      <c r="K28" s="40" t="str">
        <f t="shared" si="6"/>
        <v/>
      </c>
      <c r="L28" s="40" t="str">
        <f t="shared" si="7"/>
        <v/>
      </c>
      <c r="M28" s="40" t="str">
        <f t="shared" si="8"/>
        <v>No</v>
      </c>
      <c r="P28" s="30" t="s">
        <v>105</v>
      </c>
      <c r="Q28" s="30">
        <v>0.62318840579710144</v>
      </c>
      <c r="R28" s="30">
        <v>0</v>
      </c>
      <c r="S28" s="30">
        <v>0</v>
      </c>
      <c r="T28" s="30">
        <v>0.62318840579710144</v>
      </c>
      <c r="U28" s="30">
        <v>0</v>
      </c>
      <c r="W28"/>
      <c r="X28"/>
      <c r="Y28"/>
      <c r="AA28"/>
      <c r="AB28"/>
    </row>
    <row r="29" spans="1:29" x14ac:dyDescent="0.25">
      <c r="A29" s="40">
        <v>0</v>
      </c>
      <c r="B29" s="40" t="str">
        <f>_xlfn.XLOOKUP(A29,Staff_Name[Staff Member],Staff_Name[FTE],"")</f>
        <v/>
      </c>
      <c r="C29" s="46">
        <f t="shared" si="0"/>
        <v>0</v>
      </c>
      <c r="D29" s="46">
        <f t="shared" si="1"/>
        <v>89.101449275362327</v>
      </c>
      <c r="E29" s="46">
        <f t="shared" si="2"/>
        <v>0</v>
      </c>
      <c r="F29" s="46">
        <f t="shared" si="3"/>
        <v>0</v>
      </c>
      <c r="G29" s="46">
        <f t="shared" si="4"/>
        <v>0</v>
      </c>
      <c r="H29" s="47">
        <f t="shared" si="5"/>
        <v>89.101449275362327</v>
      </c>
      <c r="I29" s="40" t="str">
        <f>IFERROR(_xlfn.XLOOKUP(A29,Staff_Name[Staff Member],Staff_Name[Target T:R Balance],""),"")</f>
        <v/>
      </c>
      <c r="J29" s="40" t="str">
        <f>IFERROR(_xlfn.XLOOKUP(A29,Staff_Name[Staff Member],Staff_Name[Target Band],""),"")</f>
        <v/>
      </c>
      <c r="K29" s="40" t="str">
        <f t="shared" si="6"/>
        <v/>
      </c>
      <c r="L29" s="40" t="str">
        <f t="shared" si="7"/>
        <v/>
      </c>
      <c r="M29" s="40" t="str">
        <f t="shared" si="8"/>
        <v>No</v>
      </c>
      <c r="P29" s="30" t="s">
        <v>128</v>
      </c>
      <c r="Q29" s="30">
        <v>0.8</v>
      </c>
      <c r="R29" s="30">
        <v>0</v>
      </c>
      <c r="S29" s="30">
        <v>0</v>
      </c>
      <c r="T29" s="30">
        <v>0</v>
      </c>
      <c r="U29" s="30">
        <v>0</v>
      </c>
      <c r="W29"/>
      <c r="X29"/>
      <c r="Y29"/>
      <c r="AA29"/>
      <c r="AB29"/>
    </row>
    <row r="30" spans="1:29" x14ac:dyDescent="0.25">
      <c r="A30" s="40">
        <v>0</v>
      </c>
      <c r="B30" s="40" t="str">
        <f>_xlfn.XLOOKUP(A30,Staff_Name[Staff Member],Staff_Name[FTE],"")</f>
        <v/>
      </c>
      <c r="C30" s="46">
        <f t="shared" si="0"/>
        <v>0</v>
      </c>
      <c r="D30" s="46">
        <f t="shared" si="1"/>
        <v>89.101449275362327</v>
      </c>
      <c r="E30" s="46">
        <f t="shared" si="2"/>
        <v>0</v>
      </c>
      <c r="F30" s="46">
        <f t="shared" si="3"/>
        <v>0</v>
      </c>
      <c r="G30" s="46">
        <f t="shared" si="4"/>
        <v>0</v>
      </c>
      <c r="H30" s="47">
        <f t="shared" si="5"/>
        <v>89.101449275362327</v>
      </c>
      <c r="I30" s="40" t="str">
        <f>IFERROR(_xlfn.XLOOKUP(A30,Staff_Name[Staff Member],Staff_Name[Target T:R Balance],""),"")</f>
        <v/>
      </c>
      <c r="J30" s="40" t="str">
        <f>IFERROR(_xlfn.XLOOKUP(A30,Staff_Name[Staff Member],Staff_Name[Target Band],""),"")</f>
        <v/>
      </c>
      <c r="K30" s="40" t="str">
        <f t="shared" si="6"/>
        <v/>
      </c>
      <c r="L30" s="40" t="str">
        <f t="shared" si="7"/>
        <v/>
      </c>
      <c r="M30" s="40" t="str">
        <f t="shared" si="8"/>
        <v>No</v>
      </c>
      <c r="O30" s="30" t="s">
        <v>831</v>
      </c>
      <c r="Q30" s="30">
        <v>21.936231884057971</v>
      </c>
      <c r="R30" s="30">
        <v>0</v>
      </c>
      <c r="S30" s="30">
        <v>0</v>
      </c>
      <c r="T30" s="30">
        <v>0</v>
      </c>
      <c r="U30" s="30">
        <v>0</v>
      </c>
      <c r="W30"/>
      <c r="X30"/>
      <c r="Y30"/>
      <c r="AA30"/>
      <c r="AB30"/>
    </row>
    <row r="31" spans="1:29" x14ac:dyDescent="0.25">
      <c r="A31" s="40">
        <v>0</v>
      </c>
      <c r="B31" s="40" t="str">
        <f>_xlfn.XLOOKUP(A31,Staff_Name[Staff Member],Staff_Name[FTE],"")</f>
        <v/>
      </c>
      <c r="C31" s="46">
        <f t="shared" si="0"/>
        <v>0</v>
      </c>
      <c r="D31" s="46">
        <f t="shared" si="1"/>
        <v>89.101449275362327</v>
      </c>
      <c r="E31" s="46">
        <f t="shared" si="2"/>
        <v>0</v>
      </c>
      <c r="F31" s="46">
        <f t="shared" si="3"/>
        <v>0</v>
      </c>
      <c r="G31" s="46">
        <f t="shared" si="4"/>
        <v>0</v>
      </c>
      <c r="H31" s="47">
        <f t="shared" si="5"/>
        <v>89.101449275362327</v>
      </c>
      <c r="I31" s="40" t="str">
        <f>IFERROR(_xlfn.XLOOKUP(A31,Staff_Name[Staff Member],Staff_Name[Target T:R Balance],""),"")</f>
        <v/>
      </c>
      <c r="J31" s="40" t="str">
        <f>IFERROR(_xlfn.XLOOKUP(A31,Staff_Name[Staff Member],Staff_Name[Target Band],""),"")</f>
        <v/>
      </c>
      <c r="K31" s="40" t="str">
        <f t="shared" si="6"/>
        <v/>
      </c>
      <c r="L31" s="40" t="str">
        <f t="shared" si="7"/>
        <v/>
      </c>
      <c r="M31" s="40" t="str">
        <f t="shared" si="8"/>
        <v>No</v>
      </c>
      <c r="P31" s="30" t="s">
        <v>95</v>
      </c>
      <c r="Q31" s="30">
        <v>7.5362318840579707</v>
      </c>
      <c r="R31" s="30">
        <v>0</v>
      </c>
      <c r="S31" s="30">
        <v>0</v>
      </c>
      <c r="T31" s="30">
        <v>0</v>
      </c>
      <c r="U31" s="30">
        <v>0</v>
      </c>
      <c r="W31"/>
      <c r="X31"/>
      <c r="Y31"/>
      <c r="AA31"/>
      <c r="AB31"/>
    </row>
    <row r="32" spans="1:29" x14ac:dyDescent="0.25">
      <c r="A32" s="40">
        <v>0</v>
      </c>
      <c r="B32" s="40" t="str">
        <f>_xlfn.XLOOKUP(A32,Staff_Name[Staff Member],Staff_Name[FTE],"")</f>
        <v/>
      </c>
      <c r="C32" s="46">
        <f t="shared" si="0"/>
        <v>0</v>
      </c>
      <c r="D32" s="46">
        <f t="shared" si="1"/>
        <v>89.101449275362327</v>
      </c>
      <c r="E32" s="46">
        <f t="shared" si="2"/>
        <v>0</v>
      </c>
      <c r="F32" s="46">
        <f t="shared" si="3"/>
        <v>0</v>
      </c>
      <c r="G32" s="46">
        <f t="shared" si="4"/>
        <v>0</v>
      </c>
      <c r="H32" s="47">
        <f t="shared" si="5"/>
        <v>89.101449275362327</v>
      </c>
      <c r="I32" s="40" t="str">
        <f>IFERROR(_xlfn.XLOOKUP(A32,Staff_Name[Staff Member],Staff_Name[Target T:R Balance],""),"")</f>
        <v/>
      </c>
      <c r="J32" s="40" t="str">
        <f>IFERROR(_xlfn.XLOOKUP(A32,Staff_Name[Staff Member],Staff_Name[Target Band],""),"")</f>
        <v/>
      </c>
      <c r="K32" s="40" t="str">
        <f t="shared" si="6"/>
        <v/>
      </c>
      <c r="L32" s="40" t="str">
        <f t="shared" si="7"/>
        <v/>
      </c>
      <c r="M32" s="40" t="str">
        <f t="shared" si="8"/>
        <v>No</v>
      </c>
      <c r="P32" s="30" t="s">
        <v>169</v>
      </c>
      <c r="Q32" s="30">
        <v>14.4</v>
      </c>
      <c r="R32" s="30">
        <v>0</v>
      </c>
      <c r="S32" s="30">
        <v>0</v>
      </c>
      <c r="T32" s="30">
        <v>0</v>
      </c>
      <c r="U32" s="30">
        <v>0</v>
      </c>
      <c r="W32"/>
      <c r="X32"/>
      <c r="Y32"/>
      <c r="AA32"/>
      <c r="AB32"/>
    </row>
    <row r="33" spans="1:28" x14ac:dyDescent="0.25">
      <c r="A33" s="40">
        <v>0</v>
      </c>
      <c r="B33" s="40" t="str">
        <f>_xlfn.XLOOKUP(A33,Staff_Name[Staff Member],Staff_Name[FTE],"")</f>
        <v/>
      </c>
      <c r="C33" s="46">
        <f t="shared" si="0"/>
        <v>0</v>
      </c>
      <c r="D33" s="46">
        <f t="shared" si="1"/>
        <v>89.101449275362327</v>
      </c>
      <c r="E33" s="46">
        <f t="shared" si="2"/>
        <v>0</v>
      </c>
      <c r="F33" s="46">
        <f t="shared" si="3"/>
        <v>0</v>
      </c>
      <c r="G33" s="46">
        <f t="shared" si="4"/>
        <v>0</v>
      </c>
      <c r="H33" s="47">
        <f t="shared" si="5"/>
        <v>89.101449275362327</v>
      </c>
      <c r="I33" s="40" t="str">
        <f>IFERROR(_xlfn.XLOOKUP(A33,Staff_Name[Staff Member],Staff_Name[Target T:R Balance],""),"")</f>
        <v/>
      </c>
      <c r="J33" s="40" t="str">
        <f>IFERROR(_xlfn.XLOOKUP(A33,Staff_Name[Staff Member],Staff_Name[Target Band],""),"")</f>
        <v/>
      </c>
      <c r="K33" s="40" t="str">
        <f t="shared" si="6"/>
        <v/>
      </c>
      <c r="L33" s="40" t="str">
        <f t="shared" si="7"/>
        <v/>
      </c>
      <c r="M33" s="40" t="str">
        <f t="shared" si="8"/>
        <v>No</v>
      </c>
      <c r="O33" s="30" t="s">
        <v>832</v>
      </c>
      <c r="Q33" s="30">
        <v>10.028985507246377</v>
      </c>
      <c r="R33" s="30">
        <v>0</v>
      </c>
      <c r="S33" s="30">
        <v>0</v>
      </c>
      <c r="T33" s="30">
        <v>2.4927536231884058</v>
      </c>
      <c r="U33" s="30">
        <v>0</v>
      </c>
      <c r="W33"/>
      <c r="X33"/>
      <c r="Y33"/>
      <c r="AA33"/>
      <c r="AB33"/>
    </row>
    <row r="34" spans="1:28" x14ac:dyDescent="0.25">
      <c r="A34" s="40"/>
      <c r="B34" s="40">
        <f>_xlfn.XLOOKUP(A34,Staff_Name[Staff Member],Staff_Name[FTE],"")</f>
        <v>0</v>
      </c>
      <c r="C34" s="46">
        <f t="shared" si="0"/>
        <v>0</v>
      </c>
      <c r="D34" s="46">
        <f t="shared" si="1"/>
        <v>0</v>
      </c>
      <c r="E34" s="46">
        <f t="shared" si="2"/>
        <v>0</v>
      </c>
      <c r="F34" s="46">
        <f t="shared" si="3"/>
        <v>0</v>
      </c>
      <c r="G34" s="46">
        <f t="shared" si="4"/>
        <v>0</v>
      </c>
      <c r="H34" s="47">
        <f t="shared" si="5"/>
        <v>0</v>
      </c>
      <c r="I34" s="40">
        <f>IFERROR(_xlfn.XLOOKUP(A34,Staff_Name[Staff Member],Staff_Name[Target T:R Balance],""),"")</f>
        <v>0</v>
      </c>
      <c r="J34" s="40">
        <f>IFERROR(_xlfn.XLOOKUP(A34,Staff_Name[Staff Member],Staff_Name[Target Band],""),"")</f>
        <v>0</v>
      </c>
      <c r="K34" s="40" t="str">
        <f t="shared" si="6"/>
        <v/>
      </c>
      <c r="L34" s="40" t="str">
        <f t="shared" si="7"/>
        <v/>
      </c>
      <c r="M34" s="40" t="str">
        <f t="shared" si="8"/>
        <v>Yes</v>
      </c>
      <c r="P34" s="30" t="s">
        <v>107</v>
      </c>
      <c r="Q34" s="30">
        <v>7.5362318840579707</v>
      </c>
      <c r="R34" s="30">
        <v>0</v>
      </c>
      <c r="S34" s="30">
        <v>0</v>
      </c>
      <c r="T34" s="30">
        <v>0</v>
      </c>
      <c r="U34" s="30">
        <v>0</v>
      </c>
      <c r="W34"/>
      <c r="X34"/>
      <c r="Y34"/>
      <c r="AA34"/>
      <c r="AB34"/>
    </row>
    <row r="35" spans="1:28" x14ac:dyDescent="0.25">
      <c r="A35" s="40"/>
      <c r="B35" s="40">
        <f>_xlfn.XLOOKUP(A35,Staff_Name[Staff Member],Staff_Name[FTE],"")</f>
        <v>0</v>
      </c>
      <c r="C35" s="46">
        <f t="shared" si="0"/>
        <v>0</v>
      </c>
      <c r="D35" s="46">
        <f t="shared" si="1"/>
        <v>0</v>
      </c>
      <c r="E35" s="46">
        <f t="shared" si="2"/>
        <v>0</v>
      </c>
      <c r="F35" s="46">
        <f t="shared" si="3"/>
        <v>0</v>
      </c>
      <c r="G35" s="46">
        <f t="shared" si="4"/>
        <v>0</v>
      </c>
      <c r="H35" s="47">
        <f t="shared" si="5"/>
        <v>0</v>
      </c>
      <c r="I35" s="40">
        <f>IFERROR(_xlfn.XLOOKUP(A35,Staff_Name[Staff Member],Staff_Name[Target T:R Balance],""),"")</f>
        <v>0</v>
      </c>
      <c r="J35" s="40">
        <f>IFERROR(_xlfn.XLOOKUP(A35,Staff_Name[Staff Member],Staff_Name[Target Band],""),"")</f>
        <v>0</v>
      </c>
      <c r="K35" s="40" t="str">
        <f t="shared" si="6"/>
        <v/>
      </c>
      <c r="L35" s="40" t="str">
        <f t="shared" si="7"/>
        <v/>
      </c>
      <c r="M35" s="40" t="str">
        <f t="shared" si="8"/>
        <v>Yes</v>
      </c>
      <c r="P35" s="30" t="s">
        <v>105</v>
      </c>
      <c r="Q35" s="30">
        <v>2.4927536231884058</v>
      </c>
      <c r="R35" s="30">
        <v>0</v>
      </c>
      <c r="S35" s="30">
        <v>0</v>
      </c>
      <c r="T35" s="30">
        <v>2.4927536231884058</v>
      </c>
      <c r="U35" s="30">
        <v>0</v>
      </c>
      <c r="W35"/>
      <c r="X35"/>
      <c r="Y35"/>
      <c r="AA35"/>
      <c r="AB35"/>
    </row>
    <row r="36" spans="1:28" x14ac:dyDescent="0.25">
      <c r="A36" s="40"/>
      <c r="B36" s="40">
        <f>_xlfn.XLOOKUP(A36,Staff_Name[Staff Member],Staff_Name[FTE],"")</f>
        <v>0</v>
      </c>
      <c r="C36" s="46">
        <f t="shared" si="0"/>
        <v>0</v>
      </c>
      <c r="D36" s="46">
        <f t="shared" si="1"/>
        <v>0</v>
      </c>
      <c r="E36" s="46">
        <f t="shared" si="2"/>
        <v>0</v>
      </c>
      <c r="F36" s="46">
        <f t="shared" si="3"/>
        <v>0</v>
      </c>
      <c r="G36" s="46">
        <f t="shared" si="4"/>
        <v>0</v>
      </c>
      <c r="H36" s="47">
        <f t="shared" si="5"/>
        <v>0</v>
      </c>
      <c r="I36" s="40">
        <f>IFERROR(_xlfn.XLOOKUP(A36,Staff_Name[Staff Member],Staff_Name[Target T:R Balance],""),"")</f>
        <v>0</v>
      </c>
      <c r="J36" s="40">
        <f>IFERROR(_xlfn.XLOOKUP(A36,Staff_Name[Staff Member],Staff_Name[Target Band],""),"")</f>
        <v>0</v>
      </c>
      <c r="K36" s="40" t="str">
        <f t="shared" si="6"/>
        <v/>
      </c>
      <c r="L36" s="40" t="str">
        <f t="shared" si="7"/>
        <v/>
      </c>
      <c r="M36" s="40" t="str">
        <f t="shared" si="8"/>
        <v>Yes</v>
      </c>
      <c r="O36" s="30" t="s">
        <v>833</v>
      </c>
      <c r="Q36" s="30">
        <v>17.600000000000001</v>
      </c>
      <c r="R36" s="30">
        <v>0</v>
      </c>
      <c r="S36" s="30">
        <v>0</v>
      </c>
      <c r="T36" s="30">
        <v>0</v>
      </c>
      <c r="U36" s="30">
        <v>0</v>
      </c>
      <c r="W36"/>
      <c r="X36"/>
      <c r="Y36"/>
      <c r="AA36"/>
      <c r="AB36"/>
    </row>
    <row r="37" spans="1:28" x14ac:dyDescent="0.25">
      <c r="A37" s="40"/>
      <c r="B37" s="40">
        <f>_xlfn.XLOOKUP(A37,Staff_Name[Staff Member],Staff_Name[FTE],"")</f>
        <v>0</v>
      </c>
      <c r="C37" s="46">
        <f t="shared" si="0"/>
        <v>0</v>
      </c>
      <c r="D37" s="46">
        <f t="shared" si="1"/>
        <v>0</v>
      </c>
      <c r="E37" s="46">
        <f t="shared" si="2"/>
        <v>0</v>
      </c>
      <c r="F37" s="46">
        <f t="shared" si="3"/>
        <v>0</v>
      </c>
      <c r="G37" s="46">
        <f t="shared" si="4"/>
        <v>0</v>
      </c>
      <c r="H37" s="47">
        <f t="shared" si="5"/>
        <v>0</v>
      </c>
      <c r="I37" s="40">
        <f>IFERROR(_xlfn.XLOOKUP(A37,Staff_Name[Staff Member],Staff_Name[Target T:R Balance],""),"")</f>
        <v>0</v>
      </c>
      <c r="J37" s="40">
        <f>IFERROR(_xlfn.XLOOKUP(A37,Staff_Name[Staff Member],Staff_Name[Target Band],""),"")</f>
        <v>0</v>
      </c>
      <c r="K37" s="40" t="str">
        <f t="shared" si="6"/>
        <v/>
      </c>
      <c r="L37" s="40" t="str">
        <f t="shared" si="7"/>
        <v/>
      </c>
      <c r="M37" s="40" t="str">
        <f t="shared" si="8"/>
        <v>Yes</v>
      </c>
      <c r="P37" s="30" t="s">
        <v>128</v>
      </c>
      <c r="Q37" s="30">
        <v>1.6</v>
      </c>
      <c r="R37" s="30">
        <v>0</v>
      </c>
      <c r="S37" s="30">
        <v>0</v>
      </c>
      <c r="T37" s="30">
        <v>0</v>
      </c>
      <c r="U37" s="30">
        <v>0</v>
      </c>
      <c r="W37"/>
      <c r="X37"/>
      <c r="Y37"/>
      <c r="AA37"/>
      <c r="AB37"/>
    </row>
    <row r="38" spans="1:28" x14ac:dyDescent="0.25">
      <c r="A38" s="40"/>
      <c r="B38" s="40">
        <f>_xlfn.XLOOKUP(A38,Staff_Name[Staff Member],Staff_Name[FTE],"")</f>
        <v>0</v>
      </c>
      <c r="C38" s="46">
        <f t="shared" si="0"/>
        <v>0</v>
      </c>
      <c r="D38" s="46">
        <f t="shared" si="1"/>
        <v>0</v>
      </c>
      <c r="E38" s="46">
        <f t="shared" si="2"/>
        <v>0</v>
      </c>
      <c r="F38" s="46">
        <f t="shared" si="3"/>
        <v>0</v>
      </c>
      <c r="G38" s="46">
        <f t="shared" si="4"/>
        <v>0</v>
      </c>
      <c r="H38" s="47">
        <f t="shared" si="5"/>
        <v>0</v>
      </c>
      <c r="I38" s="40">
        <f>IFERROR(_xlfn.XLOOKUP(A38,Staff_Name[Staff Member],Staff_Name[Target T:R Balance],""),"")</f>
        <v>0</v>
      </c>
      <c r="J38" s="40">
        <f>IFERROR(_xlfn.XLOOKUP(A38,Staff_Name[Staff Member],Staff_Name[Target Band],""),"")</f>
        <v>0</v>
      </c>
      <c r="K38" s="40" t="str">
        <f t="shared" si="6"/>
        <v/>
      </c>
      <c r="L38" s="40" t="str">
        <f t="shared" si="7"/>
        <v/>
      </c>
      <c r="M38" s="40" t="str">
        <f t="shared" si="8"/>
        <v>Yes</v>
      </c>
      <c r="P38" s="30" t="s">
        <v>170</v>
      </c>
      <c r="Q38" s="30">
        <v>16</v>
      </c>
      <c r="R38" s="30">
        <v>0</v>
      </c>
      <c r="S38" s="30">
        <v>0</v>
      </c>
      <c r="T38" s="30">
        <v>0</v>
      </c>
      <c r="U38" s="30">
        <v>0</v>
      </c>
      <c r="W38"/>
      <c r="X38"/>
      <c r="Y38"/>
      <c r="AA38"/>
      <c r="AB38"/>
    </row>
    <row r="39" spans="1:28" x14ac:dyDescent="0.25">
      <c r="A39" s="40"/>
      <c r="B39" s="40">
        <f>_xlfn.XLOOKUP(A39,Staff_Name[Staff Member],Staff_Name[FTE],"")</f>
        <v>0</v>
      </c>
      <c r="C39" s="46">
        <f t="shared" si="0"/>
        <v>0</v>
      </c>
      <c r="D39" s="46">
        <f t="shared" si="1"/>
        <v>0</v>
      </c>
      <c r="E39" s="46">
        <f t="shared" si="2"/>
        <v>0</v>
      </c>
      <c r="F39" s="46">
        <f t="shared" si="3"/>
        <v>0</v>
      </c>
      <c r="G39" s="46">
        <f t="shared" si="4"/>
        <v>0</v>
      </c>
      <c r="H39" s="47">
        <f t="shared" si="5"/>
        <v>0</v>
      </c>
      <c r="I39" s="40">
        <f>IFERROR(_xlfn.XLOOKUP(A39,Staff_Name[Staff Member],Staff_Name[Target T:R Balance],""),"")</f>
        <v>0</v>
      </c>
      <c r="J39" s="40">
        <f>IFERROR(_xlfn.XLOOKUP(A39,Staff_Name[Staff Member],Staff_Name[Target Band],""),"")</f>
        <v>0</v>
      </c>
      <c r="K39" s="40" t="str">
        <f t="shared" si="6"/>
        <v/>
      </c>
      <c r="L39" s="40" t="str">
        <f t="shared" si="7"/>
        <v/>
      </c>
      <c r="M39" s="40" t="str">
        <f t="shared" si="8"/>
        <v>Yes</v>
      </c>
      <c r="O39" s="30" t="s">
        <v>834</v>
      </c>
      <c r="Q39" s="30">
        <v>13.257971014492753</v>
      </c>
      <c r="R39" s="30">
        <v>0</v>
      </c>
      <c r="S39" s="30">
        <v>0</v>
      </c>
      <c r="T39" s="30">
        <v>1.2463768115942029</v>
      </c>
      <c r="U39" s="30">
        <v>0</v>
      </c>
      <c r="W39"/>
      <c r="X39"/>
      <c r="Y39"/>
      <c r="AA39"/>
      <c r="AB39"/>
    </row>
    <row r="40" spans="1:28" x14ac:dyDescent="0.25">
      <c r="A40" s="40"/>
      <c r="B40" s="40">
        <f>_xlfn.XLOOKUP(A40,Staff_Name[Staff Member],Staff_Name[FTE],"")</f>
        <v>0</v>
      </c>
      <c r="C40" s="46">
        <f t="shared" si="0"/>
        <v>0</v>
      </c>
      <c r="D40" s="46">
        <f t="shared" si="1"/>
        <v>0</v>
      </c>
      <c r="E40" s="46">
        <f t="shared" si="2"/>
        <v>0</v>
      </c>
      <c r="F40" s="46">
        <f t="shared" si="3"/>
        <v>0</v>
      </c>
      <c r="G40" s="46">
        <f t="shared" si="4"/>
        <v>0</v>
      </c>
      <c r="H40" s="47">
        <f t="shared" si="5"/>
        <v>0</v>
      </c>
      <c r="I40" s="40">
        <f>IFERROR(_xlfn.XLOOKUP(A40,Staff_Name[Staff Member],Staff_Name[Target T:R Balance],""),"")</f>
        <v>0</v>
      </c>
      <c r="J40" s="40">
        <f>IFERROR(_xlfn.XLOOKUP(A40,Staff_Name[Staff Member],Staff_Name[Target Band],""),"")</f>
        <v>0</v>
      </c>
      <c r="K40" s="40" t="str">
        <f t="shared" si="6"/>
        <v/>
      </c>
      <c r="L40" s="40" t="str">
        <f t="shared" si="7"/>
        <v/>
      </c>
      <c r="M40" s="40" t="str">
        <f t="shared" si="8"/>
        <v>Yes</v>
      </c>
      <c r="P40" s="30" t="s">
        <v>105</v>
      </c>
      <c r="Q40" s="30">
        <v>1.2463768115942029</v>
      </c>
      <c r="R40" s="30">
        <v>0</v>
      </c>
      <c r="S40" s="30">
        <v>0</v>
      </c>
      <c r="T40" s="30">
        <v>1.2463768115942029</v>
      </c>
      <c r="U40" s="30">
        <v>0</v>
      </c>
      <c r="W40"/>
      <c r="X40"/>
      <c r="Y40"/>
      <c r="AA40"/>
      <c r="AB40"/>
    </row>
    <row r="41" spans="1:28" x14ac:dyDescent="0.25">
      <c r="A41" s="40"/>
      <c r="B41" s="40">
        <f>_xlfn.XLOOKUP(A41,Staff_Name[Staff Member],Staff_Name[FTE],"")</f>
        <v>0</v>
      </c>
      <c r="C41" s="46">
        <f t="shared" si="0"/>
        <v>0</v>
      </c>
      <c r="D41" s="46">
        <f t="shared" si="1"/>
        <v>0</v>
      </c>
      <c r="E41" s="46">
        <f t="shared" si="2"/>
        <v>0</v>
      </c>
      <c r="F41" s="46">
        <f t="shared" si="3"/>
        <v>0</v>
      </c>
      <c r="G41" s="46">
        <f t="shared" si="4"/>
        <v>0</v>
      </c>
      <c r="H41" s="47">
        <f t="shared" si="5"/>
        <v>0</v>
      </c>
      <c r="I41" s="40">
        <f>IFERROR(_xlfn.XLOOKUP(A41,Staff_Name[Staff Member],Staff_Name[Target T:R Balance],""),"")</f>
        <v>0</v>
      </c>
      <c r="J41" s="40">
        <f>IFERROR(_xlfn.XLOOKUP(A41,Staff_Name[Staff Member],Staff_Name[Target Band],""),"")</f>
        <v>0</v>
      </c>
      <c r="K41" s="40" t="str">
        <f t="shared" si="6"/>
        <v/>
      </c>
      <c r="L41" s="40" t="str">
        <f t="shared" si="7"/>
        <v/>
      </c>
      <c r="M41" s="40" t="str">
        <f t="shared" si="8"/>
        <v>Yes</v>
      </c>
      <c r="P41" s="30" t="s">
        <v>128</v>
      </c>
      <c r="Q41" s="30">
        <v>3.2</v>
      </c>
      <c r="R41" s="30">
        <v>0</v>
      </c>
      <c r="S41" s="30">
        <v>0</v>
      </c>
      <c r="T41" s="30">
        <v>0</v>
      </c>
      <c r="U41" s="30">
        <v>0</v>
      </c>
      <c r="W41"/>
      <c r="X41"/>
      <c r="Y41"/>
      <c r="AA41"/>
      <c r="AB41"/>
    </row>
    <row r="42" spans="1:28" x14ac:dyDescent="0.25">
      <c r="A42" s="40"/>
      <c r="B42" s="40">
        <f>_xlfn.XLOOKUP(A42,Staff_Name[Staff Member],Staff_Name[FTE],"")</f>
        <v>0</v>
      </c>
      <c r="C42" s="46">
        <f t="shared" si="0"/>
        <v>0</v>
      </c>
      <c r="D42" s="46">
        <f t="shared" si="1"/>
        <v>0</v>
      </c>
      <c r="E42" s="46">
        <f t="shared" si="2"/>
        <v>0</v>
      </c>
      <c r="F42" s="46">
        <f t="shared" si="3"/>
        <v>0</v>
      </c>
      <c r="G42" s="46">
        <f t="shared" si="4"/>
        <v>0</v>
      </c>
      <c r="H42" s="47">
        <f t="shared" si="5"/>
        <v>0</v>
      </c>
      <c r="I42" s="40">
        <f>IFERROR(_xlfn.XLOOKUP(A42,Staff_Name[Staff Member],Staff_Name[Target T:R Balance],""),"")</f>
        <v>0</v>
      </c>
      <c r="J42" s="40">
        <f>IFERROR(_xlfn.XLOOKUP(A42,Staff_Name[Staff Member],Staff_Name[Target Band],""),"")</f>
        <v>0</v>
      </c>
      <c r="K42" s="40" t="str">
        <f t="shared" si="6"/>
        <v/>
      </c>
      <c r="L42" s="40" t="str">
        <f t="shared" si="7"/>
        <v/>
      </c>
      <c r="M42" s="40" t="str">
        <f t="shared" si="8"/>
        <v>Yes</v>
      </c>
      <c r="P42" s="30" t="s">
        <v>47</v>
      </c>
      <c r="Q42" s="30">
        <v>8.8115942028985508</v>
      </c>
      <c r="R42" s="30">
        <v>0</v>
      </c>
      <c r="S42" s="30">
        <v>0</v>
      </c>
      <c r="T42" s="30">
        <v>0</v>
      </c>
      <c r="U42" s="30">
        <v>0</v>
      </c>
      <c r="W42"/>
      <c r="X42"/>
      <c r="Y42"/>
      <c r="AA42"/>
      <c r="AB42"/>
    </row>
    <row r="43" spans="1:28" x14ac:dyDescent="0.25">
      <c r="A43" s="40"/>
      <c r="B43" s="40">
        <f>_xlfn.XLOOKUP(A43,Staff_Name[Staff Member],Staff_Name[FTE],"")</f>
        <v>0</v>
      </c>
      <c r="C43" s="46">
        <f t="shared" si="0"/>
        <v>0</v>
      </c>
      <c r="D43" s="46">
        <f t="shared" si="1"/>
        <v>0</v>
      </c>
      <c r="E43" s="46">
        <f t="shared" si="2"/>
        <v>0</v>
      </c>
      <c r="F43" s="46">
        <f t="shared" si="3"/>
        <v>0</v>
      </c>
      <c r="G43" s="46">
        <f t="shared" si="4"/>
        <v>0</v>
      </c>
      <c r="H43" s="47">
        <f t="shared" si="5"/>
        <v>0</v>
      </c>
      <c r="I43" s="40">
        <f>IFERROR(_xlfn.XLOOKUP(A43,Staff_Name[Staff Member],Staff_Name[Target T:R Balance],""),"")</f>
        <v>0</v>
      </c>
      <c r="J43" s="40">
        <f>IFERROR(_xlfn.XLOOKUP(A43,Staff_Name[Staff Member],Staff_Name[Target Band],""),"")</f>
        <v>0</v>
      </c>
      <c r="K43" s="40" t="str">
        <f t="shared" si="6"/>
        <v/>
      </c>
      <c r="L43" s="40" t="str">
        <f t="shared" si="7"/>
        <v/>
      </c>
      <c r="M43" s="40" t="str">
        <f t="shared" si="8"/>
        <v>Yes</v>
      </c>
      <c r="O43" s="30" t="s">
        <v>835</v>
      </c>
      <c r="Q43" s="30">
        <v>1.6</v>
      </c>
      <c r="R43" s="30">
        <v>0</v>
      </c>
      <c r="S43" s="30">
        <v>0</v>
      </c>
      <c r="T43" s="30">
        <v>0</v>
      </c>
      <c r="U43" s="30">
        <v>0</v>
      </c>
      <c r="W43"/>
      <c r="X43"/>
      <c r="Y43"/>
      <c r="AA43"/>
      <c r="AB43"/>
    </row>
    <row r="44" spans="1:28" x14ac:dyDescent="0.25">
      <c r="A44" s="40"/>
      <c r="B44" s="40">
        <f>_xlfn.XLOOKUP(A44,Staff_Name[Staff Member],Staff_Name[FTE],"")</f>
        <v>0</v>
      </c>
      <c r="C44" s="46">
        <f t="shared" si="0"/>
        <v>0</v>
      </c>
      <c r="D44" s="46">
        <f t="shared" si="1"/>
        <v>0</v>
      </c>
      <c r="E44" s="46">
        <f t="shared" si="2"/>
        <v>0</v>
      </c>
      <c r="F44" s="46">
        <f t="shared" si="3"/>
        <v>0</v>
      </c>
      <c r="G44" s="46">
        <f t="shared" si="4"/>
        <v>0</v>
      </c>
      <c r="H44" s="47">
        <f t="shared" si="5"/>
        <v>0</v>
      </c>
      <c r="I44" s="40">
        <f>IFERROR(_xlfn.XLOOKUP(A44,Staff_Name[Staff Member],Staff_Name[Target T:R Balance],""),"")</f>
        <v>0</v>
      </c>
      <c r="J44" s="40">
        <f>IFERROR(_xlfn.XLOOKUP(A44,Staff_Name[Staff Member],Staff_Name[Target Band],""),"")</f>
        <v>0</v>
      </c>
      <c r="K44" s="40" t="str">
        <f t="shared" si="6"/>
        <v/>
      </c>
      <c r="L44" s="40" t="str">
        <f t="shared" si="7"/>
        <v/>
      </c>
      <c r="M44" s="40" t="str">
        <f t="shared" si="8"/>
        <v>Yes</v>
      </c>
      <c r="P44" s="30" t="s">
        <v>169</v>
      </c>
      <c r="Q44" s="30">
        <v>1.6</v>
      </c>
      <c r="R44" s="30">
        <v>0</v>
      </c>
      <c r="S44" s="30">
        <v>0</v>
      </c>
      <c r="T44" s="30">
        <v>0</v>
      </c>
      <c r="U44" s="30">
        <v>0</v>
      </c>
      <c r="W44"/>
      <c r="X44"/>
      <c r="Y44"/>
      <c r="AA44"/>
      <c r="AB44"/>
    </row>
    <row r="45" spans="1:28" x14ac:dyDescent="0.25">
      <c r="A45" s="40"/>
      <c r="B45" s="40">
        <f>_xlfn.XLOOKUP(A45,Staff_Name[Staff Member],Staff_Name[FTE],"")</f>
        <v>0</v>
      </c>
      <c r="C45" s="46">
        <f t="shared" si="0"/>
        <v>0</v>
      </c>
      <c r="D45" s="46">
        <f t="shared" si="1"/>
        <v>0</v>
      </c>
      <c r="E45" s="46">
        <f t="shared" si="2"/>
        <v>0</v>
      </c>
      <c r="F45" s="46">
        <f t="shared" si="3"/>
        <v>0</v>
      </c>
      <c r="G45" s="46">
        <f t="shared" si="4"/>
        <v>0</v>
      </c>
      <c r="H45" s="47">
        <f t="shared" si="5"/>
        <v>0</v>
      </c>
      <c r="I45" s="40">
        <f>IFERROR(_xlfn.XLOOKUP(A45,Staff_Name[Staff Member],Staff_Name[Target T:R Balance],""),"")</f>
        <v>0</v>
      </c>
      <c r="J45" s="40">
        <f>IFERROR(_xlfn.XLOOKUP(A45,Staff_Name[Staff Member],Staff_Name[Target Band],""),"")</f>
        <v>0</v>
      </c>
      <c r="K45" s="40" t="str">
        <f t="shared" si="6"/>
        <v/>
      </c>
      <c r="L45" s="40" t="str">
        <f t="shared" si="7"/>
        <v/>
      </c>
      <c r="M45" s="40" t="str">
        <f t="shared" si="8"/>
        <v>Yes</v>
      </c>
      <c r="O45" s="30" t="s">
        <v>836</v>
      </c>
      <c r="Q45" s="30">
        <v>30.4</v>
      </c>
      <c r="R45" s="30">
        <v>0</v>
      </c>
      <c r="S45" s="30">
        <v>0</v>
      </c>
      <c r="T45" s="30">
        <v>0</v>
      </c>
      <c r="U45" s="30">
        <v>0</v>
      </c>
      <c r="W45"/>
      <c r="X45"/>
      <c r="Y45"/>
      <c r="AA45"/>
      <c r="AB45"/>
    </row>
    <row r="46" spans="1:28" x14ac:dyDescent="0.25">
      <c r="A46" s="40"/>
      <c r="B46" s="40">
        <f>_xlfn.XLOOKUP(A46,Staff_Name[Staff Member],Staff_Name[FTE],"")</f>
        <v>0</v>
      </c>
      <c r="C46" s="46">
        <f t="shared" si="0"/>
        <v>0</v>
      </c>
      <c r="D46" s="46">
        <f t="shared" si="1"/>
        <v>0</v>
      </c>
      <c r="E46" s="46">
        <f t="shared" si="2"/>
        <v>0</v>
      </c>
      <c r="F46" s="46">
        <f t="shared" si="3"/>
        <v>0</v>
      </c>
      <c r="G46" s="46">
        <f t="shared" si="4"/>
        <v>0</v>
      </c>
      <c r="H46" s="47">
        <f t="shared" si="5"/>
        <v>0</v>
      </c>
      <c r="I46" s="40">
        <f>IFERROR(_xlfn.XLOOKUP(A46,Staff_Name[Staff Member],Staff_Name[Target T:R Balance],""),"")</f>
        <v>0</v>
      </c>
      <c r="J46" s="40">
        <f>IFERROR(_xlfn.XLOOKUP(A46,Staff_Name[Staff Member],Staff_Name[Target Band],""),"")</f>
        <v>0</v>
      </c>
      <c r="K46" s="40" t="str">
        <f t="shared" si="6"/>
        <v/>
      </c>
      <c r="L46" s="40" t="str">
        <f t="shared" si="7"/>
        <v/>
      </c>
      <c r="M46" s="40" t="str">
        <f t="shared" si="8"/>
        <v>Yes</v>
      </c>
      <c r="P46" s="30" t="s">
        <v>153</v>
      </c>
      <c r="Q46" s="30">
        <v>14.4</v>
      </c>
      <c r="R46" s="30">
        <v>0</v>
      </c>
      <c r="S46" s="30">
        <v>0</v>
      </c>
      <c r="T46" s="30">
        <v>0</v>
      </c>
      <c r="U46" s="30">
        <v>0</v>
      </c>
      <c r="W46"/>
      <c r="X46"/>
      <c r="Y46"/>
      <c r="AA46"/>
      <c r="AB46"/>
    </row>
    <row r="47" spans="1:28" x14ac:dyDescent="0.25">
      <c r="A47" s="40"/>
      <c r="B47" s="40">
        <f>_xlfn.XLOOKUP(A47,Staff_Name[Staff Member],Staff_Name[FTE],"")</f>
        <v>0</v>
      </c>
      <c r="C47" s="46">
        <f t="shared" si="0"/>
        <v>0</v>
      </c>
      <c r="D47" s="46">
        <f t="shared" si="1"/>
        <v>0</v>
      </c>
      <c r="E47" s="46">
        <f t="shared" si="2"/>
        <v>0</v>
      </c>
      <c r="F47" s="46">
        <f t="shared" si="3"/>
        <v>0</v>
      </c>
      <c r="G47" s="46">
        <f t="shared" si="4"/>
        <v>0</v>
      </c>
      <c r="H47" s="47">
        <f t="shared" si="5"/>
        <v>0</v>
      </c>
      <c r="I47" s="40">
        <f>IFERROR(_xlfn.XLOOKUP(A47,Staff_Name[Staff Member],Staff_Name[Target T:R Balance],""),"")</f>
        <v>0</v>
      </c>
      <c r="J47" s="40">
        <f>IFERROR(_xlfn.XLOOKUP(A47,Staff_Name[Staff Member],Staff_Name[Target Band],""),"")</f>
        <v>0</v>
      </c>
      <c r="K47" s="40" t="str">
        <f t="shared" si="6"/>
        <v/>
      </c>
      <c r="L47" s="40" t="str">
        <f t="shared" si="7"/>
        <v/>
      </c>
      <c r="M47" s="40" t="str">
        <f t="shared" si="8"/>
        <v>Yes</v>
      </c>
      <c r="P47" s="30" t="s">
        <v>172</v>
      </c>
      <c r="Q47" s="30">
        <v>16</v>
      </c>
      <c r="R47" s="30">
        <v>0</v>
      </c>
      <c r="S47" s="30">
        <v>0</v>
      </c>
      <c r="T47" s="30">
        <v>0</v>
      </c>
      <c r="U47" s="30">
        <v>0</v>
      </c>
      <c r="W47"/>
      <c r="X47"/>
      <c r="Y47"/>
      <c r="AA47"/>
      <c r="AB47"/>
    </row>
    <row r="48" spans="1:28" x14ac:dyDescent="0.25">
      <c r="A48" s="40"/>
      <c r="B48" s="40">
        <f>_xlfn.XLOOKUP(A48,Staff_Name[Staff Member],Staff_Name[FTE],"")</f>
        <v>0</v>
      </c>
      <c r="C48" s="46">
        <f t="shared" si="0"/>
        <v>0</v>
      </c>
      <c r="D48" s="46">
        <f t="shared" si="1"/>
        <v>0</v>
      </c>
      <c r="E48" s="46">
        <f t="shared" si="2"/>
        <v>0</v>
      </c>
      <c r="F48" s="46">
        <f t="shared" si="3"/>
        <v>0</v>
      </c>
      <c r="G48" s="46">
        <f t="shared" si="4"/>
        <v>0</v>
      </c>
      <c r="H48" s="47">
        <f t="shared" si="5"/>
        <v>0</v>
      </c>
      <c r="I48" s="40">
        <f>IFERROR(_xlfn.XLOOKUP(A48,Staff_Name[Staff Member],Staff_Name[Target T:R Balance],""),"")</f>
        <v>0</v>
      </c>
      <c r="J48" s="40">
        <f>IFERROR(_xlfn.XLOOKUP(A48,Staff_Name[Staff Member],Staff_Name[Target Band],""),"")</f>
        <v>0</v>
      </c>
      <c r="K48" s="40" t="str">
        <f t="shared" si="6"/>
        <v/>
      </c>
      <c r="L48" s="40" t="str">
        <f t="shared" si="7"/>
        <v/>
      </c>
      <c r="M48" s="40" t="str">
        <f t="shared" si="8"/>
        <v>Yes</v>
      </c>
      <c r="O48" s="30" t="s">
        <v>837</v>
      </c>
      <c r="Q48" s="30">
        <v>1.6</v>
      </c>
      <c r="R48" s="30">
        <v>0</v>
      </c>
      <c r="S48" s="30">
        <v>0</v>
      </c>
      <c r="T48" s="30">
        <v>0</v>
      </c>
      <c r="U48" s="30">
        <v>0</v>
      </c>
      <c r="W48"/>
      <c r="X48"/>
      <c r="Y48"/>
      <c r="AA48"/>
      <c r="AB48"/>
    </row>
    <row r="49" spans="1:28" x14ac:dyDescent="0.25">
      <c r="A49" s="40"/>
      <c r="B49" s="40">
        <f>_xlfn.XLOOKUP(A49,Staff_Name[Staff Member],Staff_Name[FTE],"")</f>
        <v>0</v>
      </c>
      <c r="C49" s="46">
        <f t="shared" si="0"/>
        <v>0</v>
      </c>
      <c r="D49" s="46">
        <f t="shared" si="1"/>
        <v>0</v>
      </c>
      <c r="E49" s="46">
        <f t="shared" si="2"/>
        <v>0</v>
      </c>
      <c r="F49" s="46">
        <f t="shared" si="3"/>
        <v>0</v>
      </c>
      <c r="G49" s="46">
        <f t="shared" si="4"/>
        <v>0</v>
      </c>
      <c r="H49" s="47">
        <f t="shared" si="5"/>
        <v>0</v>
      </c>
      <c r="I49" s="40">
        <f>IFERROR(_xlfn.XLOOKUP(A49,Staff_Name[Staff Member],Staff_Name[Target T:R Balance],""),"")</f>
        <v>0</v>
      </c>
      <c r="J49" s="40">
        <f>IFERROR(_xlfn.XLOOKUP(A49,Staff_Name[Staff Member],Staff_Name[Target Band],""),"")</f>
        <v>0</v>
      </c>
      <c r="K49" s="40" t="str">
        <f t="shared" si="6"/>
        <v/>
      </c>
      <c r="L49" s="40" t="str">
        <f t="shared" si="7"/>
        <v/>
      </c>
      <c r="M49" s="40" t="str">
        <f t="shared" si="8"/>
        <v>Yes</v>
      </c>
      <c r="P49" s="30" t="s">
        <v>153</v>
      </c>
      <c r="Q49" s="30">
        <v>1.6</v>
      </c>
      <c r="R49" s="30">
        <v>0</v>
      </c>
      <c r="S49" s="30">
        <v>0</v>
      </c>
      <c r="T49" s="30">
        <v>0</v>
      </c>
      <c r="U49" s="30">
        <v>0</v>
      </c>
      <c r="W49"/>
      <c r="X49"/>
      <c r="Y49"/>
      <c r="AA49"/>
      <c r="AB49"/>
    </row>
    <row r="50" spans="1:28" x14ac:dyDescent="0.25">
      <c r="A50" s="40"/>
      <c r="B50" s="40">
        <f>_xlfn.XLOOKUP(A50,Staff_Name[Staff Member],Staff_Name[FTE],"")</f>
        <v>0</v>
      </c>
      <c r="C50" s="46">
        <f t="shared" si="0"/>
        <v>0</v>
      </c>
      <c r="D50" s="46">
        <f t="shared" si="1"/>
        <v>0</v>
      </c>
      <c r="E50" s="46">
        <f t="shared" si="2"/>
        <v>0</v>
      </c>
      <c r="F50" s="46">
        <f t="shared" si="3"/>
        <v>0</v>
      </c>
      <c r="G50" s="46">
        <f t="shared" si="4"/>
        <v>0</v>
      </c>
      <c r="H50" s="47">
        <f t="shared" si="5"/>
        <v>0</v>
      </c>
      <c r="I50" s="40">
        <f>IFERROR(_xlfn.XLOOKUP(A50,Staff_Name[Staff Member],Staff_Name[Target T:R Balance],""),"")</f>
        <v>0</v>
      </c>
      <c r="J50" s="40">
        <f>IFERROR(_xlfn.XLOOKUP(A50,Staff_Name[Staff Member],Staff_Name[Target Band],""),"")</f>
        <v>0</v>
      </c>
      <c r="K50" s="40" t="str">
        <f t="shared" si="6"/>
        <v/>
      </c>
      <c r="L50" s="40" t="str">
        <f t="shared" si="7"/>
        <v/>
      </c>
      <c r="M50" s="40" t="str">
        <f t="shared" si="8"/>
        <v>Yes</v>
      </c>
      <c r="P50" s="30" t="s">
        <v>174</v>
      </c>
      <c r="Q50" s="30">
        <v>0</v>
      </c>
      <c r="R50" s="30">
        <v>0</v>
      </c>
      <c r="S50" s="30">
        <v>0</v>
      </c>
      <c r="T50" s="30">
        <v>0</v>
      </c>
      <c r="U50" s="30">
        <v>0</v>
      </c>
      <c r="W50"/>
      <c r="X50"/>
      <c r="Y50"/>
      <c r="AA50"/>
      <c r="AB50"/>
    </row>
    <row r="51" spans="1:28" x14ac:dyDescent="0.25">
      <c r="A51" s="40"/>
      <c r="B51" s="40">
        <f>_xlfn.XLOOKUP(A51,Staff_Name[Staff Member],Staff_Name[FTE],"")</f>
        <v>0</v>
      </c>
      <c r="C51" s="46">
        <f t="shared" si="0"/>
        <v>0</v>
      </c>
      <c r="D51" s="46">
        <f t="shared" si="1"/>
        <v>0</v>
      </c>
      <c r="E51" s="46">
        <f t="shared" si="2"/>
        <v>0</v>
      </c>
      <c r="F51" s="46">
        <f t="shared" si="3"/>
        <v>0</v>
      </c>
      <c r="G51" s="46">
        <f t="shared" si="4"/>
        <v>0</v>
      </c>
      <c r="H51" s="47">
        <f t="shared" si="5"/>
        <v>0</v>
      </c>
      <c r="I51" s="40">
        <f>IFERROR(_xlfn.XLOOKUP(A51,Staff_Name[Staff Member],Staff_Name[Target T:R Balance],""),"")</f>
        <v>0</v>
      </c>
      <c r="J51" s="40">
        <f>IFERROR(_xlfn.XLOOKUP(A51,Staff_Name[Staff Member],Staff_Name[Target Band],""),"")</f>
        <v>0</v>
      </c>
      <c r="K51" s="40" t="str">
        <f t="shared" si="6"/>
        <v/>
      </c>
      <c r="L51" s="40" t="str">
        <f t="shared" si="7"/>
        <v/>
      </c>
      <c r="M51" s="40" t="str">
        <f t="shared" si="8"/>
        <v>Yes</v>
      </c>
      <c r="O51" s="30" t="s">
        <v>838</v>
      </c>
      <c r="Q51" s="30">
        <v>16</v>
      </c>
      <c r="R51" s="30">
        <v>0</v>
      </c>
      <c r="S51" s="30">
        <v>0</v>
      </c>
      <c r="T51" s="30">
        <v>0</v>
      </c>
      <c r="U51" s="30">
        <v>0</v>
      </c>
      <c r="W51"/>
      <c r="X51"/>
      <c r="Y51"/>
      <c r="AA51"/>
      <c r="AB51"/>
    </row>
    <row r="52" spans="1:28" x14ac:dyDescent="0.25">
      <c r="A52" s="40"/>
      <c r="B52" s="40">
        <f>_xlfn.XLOOKUP(A52,Staff_Name[Staff Member],Staff_Name[FTE],"")</f>
        <v>0</v>
      </c>
      <c r="C52" s="46">
        <f t="shared" si="0"/>
        <v>0</v>
      </c>
      <c r="D52" s="46">
        <f t="shared" si="1"/>
        <v>0</v>
      </c>
      <c r="E52" s="46">
        <f t="shared" si="2"/>
        <v>0</v>
      </c>
      <c r="F52" s="46">
        <f t="shared" si="3"/>
        <v>0</v>
      </c>
      <c r="G52" s="46">
        <f t="shared" si="4"/>
        <v>0</v>
      </c>
      <c r="H52" s="47">
        <f t="shared" si="5"/>
        <v>0</v>
      </c>
      <c r="I52" s="40">
        <f>IFERROR(_xlfn.XLOOKUP(A52,Staff_Name[Staff Member],Staff_Name[Target T:R Balance],""),"")</f>
        <v>0</v>
      </c>
      <c r="J52" s="40">
        <f>IFERROR(_xlfn.XLOOKUP(A52,Staff_Name[Staff Member],Staff_Name[Target Band],""),"")</f>
        <v>0</v>
      </c>
      <c r="K52" s="40" t="str">
        <f t="shared" si="6"/>
        <v/>
      </c>
      <c r="L52" s="40" t="str">
        <f t="shared" si="7"/>
        <v/>
      </c>
      <c r="M52" s="40" t="str">
        <f t="shared" si="8"/>
        <v>Yes</v>
      </c>
      <c r="P52" s="30" t="s">
        <v>176</v>
      </c>
      <c r="Q52" s="30">
        <v>16</v>
      </c>
      <c r="R52" s="30">
        <v>0</v>
      </c>
      <c r="S52" s="30">
        <v>0</v>
      </c>
      <c r="T52" s="30">
        <v>0</v>
      </c>
      <c r="U52" s="30">
        <v>0</v>
      </c>
      <c r="W52"/>
      <c r="X52"/>
      <c r="Y52"/>
      <c r="AA52"/>
      <c r="AB52"/>
    </row>
    <row r="53" spans="1:28" x14ac:dyDescent="0.25">
      <c r="A53" s="40"/>
      <c r="B53" s="40">
        <f>_xlfn.XLOOKUP(A53,Staff_Name[Staff Member],Staff_Name[FTE],"")</f>
        <v>0</v>
      </c>
      <c r="C53" s="46">
        <f t="shared" si="0"/>
        <v>0</v>
      </c>
      <c r="D53" s="46">
        <f t="shared" si="1"/>
        <v>0</v>
      </c>
      <c r="E53" s="46">
        <f t="shared" si="2"/>
        <v>0</v>
      </c>
      <c r="F53" s="46">
        <f t="shared" si="3"/>
        <v>0</v>
      </c>
      <c r="G53" s="46">
        <f t="shared" si="4"/>
        <v>0</v>
      </c>
      <c r="H53" s="47">
        <f t="shared" si="5"/>
        <v>0</v>
      </c>
      <c r="I53" s="40">
        <f>IFERROR(_xlfn.XLOOKUP(A53,Staff_Name[Staff Member],Staff_Name[Target T:R Balance],""),"")</f>
        <v>0</v>
      </c>
      <c r="J53" s="40">
        <f>IFERROR(_xlfn.XLOOKUP(A53,Staff_Name[Staff Member],Staff_Name[Target Band],""),"")</f>
        <v>0</v>
      </c>
      <c r="K53" s="40" t="str">
        <f t="shared" si="6"/>
        <v/>
      </c>
      <c r="L53" s="40" t="str">
        <f t="shared" si="7"/>
        <v/>
      </c>
      <c r="M53" s="40" t="str">
        <f t="shared" si="8"/>
        <v>Yes</v>
      </c>
      <c r="O53" s="30" t="s">
        <v>839</v>
      </c>
      <c r="Q53" s="30">
        <v>7.1884057971014492</v>
      </c>
      <c r="R53" s="30">
        <v>0</v>
      </c>
      <c r="S53" s="30">
        <v>0</v>
      </c>
      <c r="T53" s="30">
        <v>0</v>
      </c>
      <c r="U53" s="30">
        <v>0</v>
      </c>
      <c r="W53"/>
      <c r="X53"/>
      <c r="Y53"/>
      <c r="AA53"/>
      <c r="AB53"/>
    </row>
    <row r="54" spans="1:28" x14ac:dyDescent="0.25">
      <c r="A54" s="40"/>
      <c r="B54" s="40">
        <f>_xlfn.XLOOKUP(A54,Staff_Name[Staff Member],Staff_Name[FTE],"")</f>
        <v>0</v>
      </c>
      <c r="C54" s="46">
        <f t="shared" si="0"/>
        <v>0</v>
      </c>
      <c r="D54" s="46">
        <f t="shared" si="1"/>
        <v>0</v>
      </c>
      <c r="E54" s="46">
        <f t="shared" si="2"/>
        <v>0</v>
      </c>
      <c r="F54" s="46">
        <f t="shared" si="3"/>
        <v>0</v>
      </c>
      <c r="G54" s="46">
        <f t="shared" si="4"/>
        <v>0</v>
      </c>
      <c r="H54" s="47">
        <f t="shared" si="5"/>
        <v>0</v>
      </c>
      <c r="I54" s="40">
        <f>IFERROR(_xlfn.XLOOKUP(A54,Staff_Name[Staff Member],Staff_Name[Target T:R Balance],""),"")</f>
        <v>0</v>
      </c>
      <c r="J54" s="40">
        <f>IFERROR(_xlfn.XLOOKUP(A54,Staff_Name[Staff Member],Staff_Name[Target Band],""),"")</f>
        <v>0</v>
      </c>
      <c r="K54" s="40" t="str">
        <f t="shared" si="6"/>
        <v/>
      </c>
      <c r="L54" s="40" t="str">
        <f t="shared" si="7"/>
        <v/>
      </c>
      <c r="M54" s="40" t="str">
        <f t="shared" si="8"/>
        <v>Yes</v>
      </c>
      <c r="P54" s="30" t="s">
        <v>47</v>
      </c>
      <c r="Q54" s="30">
        <v>7.1884057971014492</v>
      </c>
      <c r="R54" s="30">
        <v>0</v>
      </c>
      <c r="S54" s="30">
        <v>0</v>
      </c>
      <c r="T54" s="30">
        <v>0</v>
      </c>
      <c r="U54" s="30">
        <v>0</v>
      </c>
      <c r="W54"/>
      <c r="X54"/>
      <c r="Y54"/>
      <c r="AA54"/>
      <c r="AB54"/>
    </row>
    <row r="55" spans="1:28" x14ac:dyDescent="0.25">
      <c r="A55" s="40"/>
      <c r="B55" s="40">
        <f>_xlfn.XLOOKUP(A55,Staff_Name[Staff Member],Staff_Name[FTE],"")</f>
        <v>0</v>
      </c>
      <c r="C55" s="46">
        <f t="shared" si="0"/>
        <v>0</v>
      </c>
      <c r="D55" s="46">
        <f t="shared" si="1"/>
        <v>0</v>
      </c>
      <c r="E55" s="46">
        <f t="shared" si="2"/>
        <v>0</v>
      </c>
      <c r="F55" s="46">
        <f t="shared" si="3"/>
        <v>0</v>
      </c>
      <c r="G55" s="46">
        <f t="shared" si="4"/>
        <v>0</v>
      </c>
      <c r="H55" s="47">
        <f t="shared" si="5"/>
        <v>0</v>
      </c>
      <c r="I55" s="40">
        <f>IFERROR(_xlfn.XLOOKUP(A55,Staff_Name[Staff Member],Staff_Name[Target T:R Balance],""),"")</f>
        <v>0</v>
      </c>
      <c r="J55" s="40">
        <f>IFERROR(_xlfn.XLOOKUP(A55,Staff_Name[Staff Member],Staff_Name[Target Band],""),"")</f>
        <v>0</v>
      </c>
      <c r="K55" s="40" t="str">
        <f t="shared" si="6"/>
        <v/>
      </c>
      <c r="L55" s="40" t="str">
        <f t="shared" si="7"/>
        <v/>
      </c>
      <c r="M55" s="40" t="str">
        <f t="shared" si="8"/>
        <v>Yes</v>
      </c>
      <c r="O55" s="30" t="s">
        <v>77</v>
      </c>
      <c r="Q55" s="30">
        <v>292.38260869565221</v>
      </c>
      <c r="R55" s="30">
        <v>0</v>
      </c>
      <c r="S55" s="30">
        <v>0</v>
      </c>
      <c r="T55" s="30">
        <v>14.956521739130435</v>
      </c>
      <c r="U55" s="30">
        <v>0</v>
      </c>
      <c r="W55"/>
      <c r="X55"/>
      <c r="Y55"/>
      <c r="AA55"/>
      <c r="AB55"/>
    </row>
    <row r="56" spans="1:28" x14ac:dyDescent="0.25">
      <c r="A56" s="40"/>
      <c r="B56" s="40">
        <f>_xlfn.XLOOKUP(A56,Staff_Name[Staff Member],Staff_Name[FTE],"")</f>
        <v>0</v>
      </c>
      <c r="C56" s="46">
        <f t="shared" si="0"/>
        <v>0</v>
      </c>
      <c r="D56" s="46">
        <f t="shared" si="1"/>
        <v>0</v>
      </c>
      <c r="E56" s="46">
        <f t="shared" si="2"/>
        <v>0</v>
      </c>
      <c r="F56" s="46">
        <f t="shared" si="3"/>
        <v>0</v>
      </c>
      <c r="G56" s="46">
        <f t="shared" si="4"/>
        <v>0</v>
      </c>
      <c r="H56" s="47">
        <f t="shared" si="5"/>
        <v>0</v>
      </c>
      <c r="I56" s="40">
        <f>IFERROR(_xlfn.XLOOKUP(A56,Staff_Name[Staff Member],Staff_Name[Target T:R Balance],""),"")</f>
        <v>0</v>
      </c>
      <c r="J56" s="40">
        <f>IFERROR(_xlfn.XLOOKUP(A56,Staff_Name[Staff Member],Staff_Name[Target Band],""),"")</f>
        <v>0</v>
      </c>
      <c r="K56" s="40" t="str">
        <f t="shared" si="6"/>
        <v/>
      </c>
      <c r="L56" s="40" t="str">
        <f t="shared" si="7"/>
        <v/>
      </c>
      <c r="M56" s="40" t="str">
        <f t="shared" si="8"/>
        <v>Yes</v>
      </c>
      <c r="O56"/>
      <c r="P56"/>
      <c r="Q56"/>
      <c r="R56"/>
      <c r="S56"/>
      <c r="T56"/>
      <c r="U56"/>
      <c r="W56"/>
      <c r="X56"/>
      <c r="Y56"/>
      <c r="AA56"/>
      <c r="AB56"/>
    </row>
    <row r="57" spans="1:28" x14ac:dyDescent="0.25">
      <c r="A57" s="40"/>
      <c r="B57" s="40">
        <f>_xlfn.XLOOKUP(A57,Staff_Name[Staff Member],Staff_Name[FTE],"")</f>
        <v>0</v>
      </c>
      <c r="C57" s="46">
        <f t="shared" si="0"/>
        <v>0</v>
      </c>
      <c r="D57" s="46">
        <f t="shared" si="1"/>
        <v>0</v>
      </c>
      <c r="E57" s="46">
        <f t="shared" si="2"/>
        <v>0</v>
      </c>
      <c r="F57" s="46">
        <f t="shared" si="3"/>
        <v>0</v>
      </c>
      <c r="G57" s="46">
        <f t="shared" si="4"/>
        <v>0</v>
      </c>
      <c r="H57" s="47">
        <f t="shared" si="5"/>
        <v>0</v>
      </c>
      <c r="I57" s="40">
        <f>IFERROR(_xlfn.XLOOKUP(A57,Staff_Name[Staff Member],Staff_Name[Target T:R Balance],""),"")</f>
        <v>0</v>
      </c>
      <c r="J57" s="40">
        <f>IFERROR(_xlfn.XLOOKUP(A57,Staff_Name[Staff Member],Staff_Name[Target Band],""),"")</f>
        <v>0</v>
      </c>
      <c r="K57" s="40" t="str">
        <f t="shared" si="6"/>
        <v/>
      </c>
      <c r="L57" s="40" t="str">
        <f t="shared" si="7"/>
        <v/>
      </c>
      <c r="M57" s="40" t="str">
        <f t="shared" si="8"/>
        <v>Yes</v>
      </c>
      <c r="O57"/>
      <c r="P57"/>
      <c r="Q57"/>
      <c r="R57"/>
      <c r="S57"/>
      <c r="T57"/>
      <c r="U57"/>
      <c r="W57"/>
      <c r="X57"/>
      <c r="Y57"/>
      <c r="AA57"/>
      <c r="AB57"/>
    </row>
    <row r="58" spans="1:28" x14ac:dyDescent="0.25">
      <c r="A58" s="40"/>
      <c r="B58" s="40">
        <f>_xlfn.XLOOKUP(A58,Staff_Name[Staff Member],Staff_Name[FTE],"")</f>
        <v>0</v>
      </c>
      <c r="C58" s="46">
        <f t="shared" si="0"/>
        <v>0</v>
      </c>
      <c r="D58" s="46">
        <f t="shared" si="1"/>
        <v>0</v>
      </c>
      <c r="E58" s="46">
        <f t="shared" si="2"/>
        <v>0</v>
      </c>
      <c r="F58" s="46">
        <f t="shared" si="3"/>
        <v>0</v>
      </c>
      <c r="G58" s="46">
        <f t="shared" si="4"/>
        <v>0</v>
      </c>
      <c r="H58" s="47">
        <f t="shared" si="5"/>
        <v>0</v>
      </c>
      <c r="I58" s="40">
        <f>IFERROR(_xlfn.XLOOKUP(A58,Staff_Name[Staff Member],Staff_Name[Target T:R Balance],""),"")</f>
        <v>0</v>
      </c>
      <c r="J58" s="40">
        <f>IFERROR(_xlfn.XLOOKUP(A58,Staff_Name[Staff Member],Staff_Name[Target Band],""),"")</f>
        <v>0</v>
      </c>
      <c r="K58" s="40" t="str">
        <f t="shared" si="6"/>
        <v/>
      </c>
      <c r="L58" s="40" t="str">
        <f t="shared" si="7"/>
        <v/>
      </c>
      <c r="M58" s="40" t="str">
        <f t="shared" si="8"/>
        <v>Yes</v>
      </c>
      <c r="O58"/>
      <c r="P58"/>
      <c r="Q58"/>
      <c r="R58"/>
      <c r="S58"/>
      <c r="T58"/>
      <c r="U58"/>
      <c r="W58"/>
      <c r="X58"/>
      <c r="Y58"/>
      <c r="AA58"/>
      <c r="AB58"/>
    </row>
    <row r="59" spans="1:28" x14ac:dyDescent="0.25">
      <c r="A59" s="40"/>
      <c r="B59" s="40">
        <f>_xlfn.XLOOKUP(A59,Staff_Name[Staff Member],Staff_Name[FTE],"")</f>
        <v>0</v>
      </c>
      <c r="C59" s="46">
        <f t="shared" si="0"/>
        <v>0</v>
      </c>
      <c r="D59" s="46">
        <f t="shared" si="1"/>
        <v>0</v>
      </c>
      <c r="E59" s="46">
        <f t="shared" si="2"/>
        <v>0</v>
      </c>
      <c r="F59" s="46">
        <f t="shared" si="3"/>
        <v>0</v>
      </c>
      <c r="G59" s="46">
        <f t="shared" si="4"/>
        <v>0</v>
      </c>
      <c r="H59" s="47">
        <f t="shared" si="5"/>
        <v>0</v>
      </c>
      <c r="I59" s="40">
        <f>IFERROR(_xlfn.XLOOKUP(A59,Staff_Name[Staff Member],Staff_Name[Target T:R Balance],""),"")</f>
        <v>0</v>
      </c>
      <c r="J59" s="40">
        <f>IFERROR(_xlfn.XLOOKUP(A59,Staff_Name[Staff Member],Staff_Name[Target Band],""),"")</f>
        <v>0</v>
      </c>
      <c r="K59" s="40" t="str">
        <f t="shared" si="6"/>
        <v/>
      </c>
      <c r="L59" s="40" t="str">
        <f t="shared" si="7"/>
        <v/>
      </c>
      <c r="M59" s="40" t="str">
        <f t="shared" si="8"/>
        <v>Yes</v>
      </c>
      <c r="O59"/>
      <c r="P59"/>
      <c r="Q59"/>
      <c r="R59"/>
      <c r="S59"/>
      <c r="T59"/>
      <c r="U59"/>
      <c r="W59"/>
      <c r="X59"/>
      <c r="Y59"/>
      <c r="AA59"/>
      <c r="AB59"/>
    </row>
    <row r="60" spans="1:28" x14ac:dyDescent="0.25">
      <c r="A60" s="40"/>
      <c r="B60" s="40">
        <f>_xlfn.XLOOKUP(A60,Staff_Name[Staff Member],Staff_Name[FTE],"")</f>
        <v>0</v>
      </c>
      <c r="C60" s="46">
        <f t="shared" si="0"/>
        <v>0</v>
      </c>
      <c r="D60" s="46">
        <f t="shared" si="1"/>
        <v>0</v>
      </c>
      <c r="E60" s="46">
        <f t="shared" si="2"/>
        <v>0</v>
      </c>
      <c r="F60" s="46">
        <f t="shared" si="3"/>
        <v>0</v>
      </c>
      <c r="G60" s="46">
        <f t="shared" si="4"/>
        <v>0</v>
      </c>
      <c r="H60" s="47">
        <f t="shared" si="5"/>
        <v>0</v>
      </c>
      <c r="I60" s="40">
        <f>IFERROR(_xlfn.XLOOKUP(A60,Staff_Name[Staff Member],Staff_Name[Target T:R Balance],""),"")</f>
        <v>0</v>
      </c>
      <c r="J60" s="40">
        <f>IFERROR(_xlfn.XLOOKUP(A60,Staff_Name[Staff Member],Staff_Name[Target Band],""),"")</f>
        <v>0</v>
      </c>
      <c r="K60" s="40" t="str">
        <f t="shared" si="6"/>
        <v/>
      </c>
      <c r="L60" s="40" t="str">
        <f t="shared" si="7"/>
        <v/>
      </c>
      <c r="M60" s="40" t="str">
        <f t="shared" si="8"/>
        <v>Yes</v>
      </c>
      <c r="O60"/>
      <c r="P60"/>
      <c r="Q60"/>
      <c r="R60"/>
      <c r="S60"/>
      <c r="T60"/>
      <c r="U60"/>
      <c r="W60"/>
      <c r="X60"/>
      <c r="Y60"/>
      <c r="AA60"/>
      <c r="AB60"/>
    </row>
    <row r="61" spans="1:28" x14ac:dyDescent="0.25">
      <c r="A61" s="40"/>
      <c r="B61" s="40">
        <f>_xlfn.XLOOKUP(A61,Staff_Name[Staff Member],Staff_Name[FTE],"")</f>
        <v>0</v>
      </c>
      <c r="C61" s="46">
        <f t="shared" si="0"/>
        <v>0</v>
      </c>
      <c r="D61" s="46">
        <f t="shared" si="1"/>
        <v>0</v>
      </c>
      <c r="E61" s="46">
        <f t="shared" si="2"/>
        <v>0</v>
      </c>
      <c r="F61" s="46">
        <f t="shared" si="3"/>
        <v>0</v>
      </c>
      <c r="G61" s="46">
        <f t="shared" si="4"/>
        <v>0</v>
      </c>
      <c r="H61" s="47">
        <f t="shared" si="5"/>
        <v>0</v>
      </c>
      <c r="I61" s="40">
        <f>IFERROR(_xlfn.XLOOKUP(A61,Staff_Name[Staff Member],Staff_Name[Target T:R Balance],""),"")</f>
        <v>0</v>
      </c>
      <c r="J61" s="40">
        <f>IFERROR(_xlfn.XLOOKUP(A61,Staff_Name[Staff Member],Staff_Name[Target Band],""),"")</f>
        <v>0</v>
      </c>
      <c r="K61" s="40" t="str">
        <f t="shared" si="6"/>
        <v/>
      </c>
      <c r="L61" s="40" t="str">
        <f t="shared" si="7"/>
        <v/>
      </c>
      <c r="M61" s="40" t="str">
        <f t="shared" si="8"/>
        <v>Yes</v>
      </c>
      <c r="O61"/>
      <c r="P61"/>
      <c r="Q61"/>
      <c r="R61"/>
      <c r="S61"/>
      <c r="T61"/>
      <c r="U61"/>
      <c r="W61"/>
      <c r="X61"/>
      <c r="Y61"/>
      <c r="AA61"/>
      <c r="AB61"/>
    </row>
    <row r="62" spans="1:28" x14ac:dyDescent="0.25">
      <c r="A62" s="40"/>
      <c r="B62" s="40">
        <f>_xlfn.XLOOKUP(A62,Staff_Name[Staff Member],Staff_Name[FTE],"")</f>
        <v>0</v>
      </c>
      <c r="C62" s="46">
        <f t="shared" si="0"/>
        <v>0</v>
      </c>
      <c r="D62" s="46">
        <f t="shared" si="1"/>
        <v>0</v>
      </c>
      <c r="E62" s="46">
        <f t="shared" si="2"/>
        <v>0</v>
      </c>
      <c r="F62" s="46">
        <f t="shared" si="3"/>
        <v>0</v>
      </c>
      <c r="G62" s="46">
        <f t="shared" si="4"/>
        <v>0</v>
      </c>
      <c r="H62" s="47">
        <f t="shared" si="5"/>
        <v>0</v>
      </c>
      <c r="I62" s="40">
        <f>IFERROR(_xlfn.XLOOKUP(A62,Staff_Name[Staff Member],Staff_Name[Target T:R Balance],""),"")</f>
        <v>0</v>
      </c>
      <c r="J62" s="40">
        <f>IFERROR(_xlfn.XLOOKUP(A62,Staff_Name[Staff Member],Staff_Name[Target Band],""),"")</f>
        <v>0</v>
      </c>
      <c r="K62" s="40" t="str">
        <f t="shared" si="6"/>
        <v/>
      </c>
      <c r="L62" s="40" t="str">
        <f t="shared" si="7"/>
        <v/>
      </c>
      <c r="M62" s="40" t="str">
        <f t="shared" si="8"/>
        <v>Yes</v>
      </c>
      <c r="O62"/>
      <c r="P62"/>
      <c r="Q62"/>
      <c r="R62"/>
      <c r="S62"/>
      <c r="T62"/>
      <c r="U62"/>
      <c r="W62"/>
      <c r="X62"/>
      <c r="Y62"/>
      <c r="AA62"/>
      <c r="AB62"/>
    </row>
    <row r="63" spans="1:28" x14ac:dyDescent="0.25">
      <c r="A63" s="40"/>
      <c r="B63" s="40">
        <f>_xlfn.XLOOKUP(A63,Staff_Name[Staff Member],Staff_Name[FTE],"")</f>
        <v>0</v>
      </c>
      <c r="C63" s="46">
        <f t="shared" si="0"/>
        <v>0</v>
      </c>
      <c r="D63" s="46">
        <f t="shared" si="1"/>
        <v>0</v>
      </c>
      <c r="E63" s="46">
        <f t="shared" si="2"/>
        <v>0</v>
      </c>
      <c r="F63" s="46">
        <f t="shared" si="3"/>
        <v>0</v>
      </c>
      <c r="G63" s="46">
        <f t="shared" si="4"/>
        <v>0</v>
      </c>
      <c r="H63" s="47">
        <f t="shared" si="5"/>
        <v>0</v>
      </c>
      <c r="I63" s="40">
        <f>IFERROR(_xlfn.XLOOKUP(A63,Staff_Name[Staff Member],Staff_Name[Target T:R Balance],""),"")</f>
        <v>0</v>
      </c>
      <c r="J63" s="40">
        <f>IFERROR(_xlfn.XLOOKUP(A63,Staff_Name[Staff Member],Staff_Name[Target Band],""),"")</f>
        <v>0</v>
      </c>
      <c r="K63" s="40" t="str">
        <f t="shared" si="6"/>
        <v/>
      </c>
      <c r="L63" s="40" t="str">
        <f t="shared" si="7"/>
        <v/>
      </c>
      <c r="M63" s="40" t="str">
        <f t="shared" si="8"/>
        <v>Yes</v>
      </c>
      <c r="O63"/>
      <c r="P63"/>
      <c r="Q63"/>
      <c r="R63"/>
      <c r="S63"/>
      <c r="T63"/>
      <c r="U63"/>
      <c r="W63"/>
      <c r="X63"/>
      <c r="Y63"/>
      <c r="AA63"/>
      <c r="AB63"/>
    </row>
    <row r="64" spans="1:28" x14ac:dyDescent="0.25">
      <c r="A64" s="40"/>
      <c r="B64" s="40">
        <f>_xlfn.XLOOKUP(A64,Staff_Name[Staff Member],Staff_Name[FTE],"")</f>
        <v>0</v>
      </c>
      <c r="C64" s="46">
        <f t="shared" si="0"/>
        <v>0</v>
      </c>
      <c r="D64" s="46">
        <f t="shared" si="1"/>
        <v>0</v>
      </c>
      <c r="E64" s="46">
        <f t="shared" si="2"/>
        <v>0</v>
      </c>
      <c r="F64" s="46">
        <f t="shared" si="3"/>
        <v>0</v>
      </c>
      <c r="G64" s="46">
        <f t="shared" si="4"/>
        <v>0</v>
      </c>
      <c r="H64" s="47">
        <f t="shared" si="5"/>
        <v>0</v>
      </c>
      <c r="I64" s="40">
        <f>IFERROR(_xlfn.XLOOKUP(A64,Staff_Name[Staff Member],Staff_Name[Target T:R Balance],""),"")</f>
        <v>0</v>
      </c>
      <c r="J64" s="40">
        <f>IFERROR(_xlfn.XLOOKUP(A64,Staff_Name[Staff Member],Staff_Name[Target Band],""),"")</f>
        <v>0</v>
      </c>
      <c r="K64" s="40" t="str">
        <f t="shared" si="6"/>
        <v/>
      </c>
      <c r="L64" s="40" t="str">
        <f t="shared" si="7"/>
        <v/>
      </c>
      <c r="M64" s="40" t="str">
        <f t="shared" si="8"/>
        <v>Yes</v>
      </c>
      <c r="O64"/>
      <c r="P64"/>
      <c r="Q64"/>
      <c r="R64"/>
      <c r="S64"/>
      <c r="T64"/>
      <c r="U64"/>
      <c r="W64"/>
      <c r="X64"/>
      <c r="Y64"/>
      <c r="AA64"/>
      <c r="AB64"/>
    </row>
    <row r="65" spans="1:28" x14ac:dyDescent="0.25">
      <c r="A65" s="40"/>
      <c r="B65" s="40">
        <f>_xlfn.XLOOKUP(A65,Staff_Name[Staff Member],Staff_Name[FTE],"")</f>
        <v>0</v>
      </c>
      <c r="C65" s="46">
        <f t="shared" si="0"/>
        <v>0</v>
      </c>
      <c r="D65" s="46">
        <f t="shared" si="1"/>
        <v>0</v>
      </c>
      <c r="E65" s="46">
        <f t="shared" si="2"/>
        <v>0</v>
      </c>
      <c r="F65" s="46">
        <f t="shared" si="3"/>
        <v>0</v>
      </c>
      <c r="G65" s="46">
        <f t="shared" si="4"/>
        <v>0</v>
      </c>
      <c r="H65" s="47">
        <f t="shared" si="5"/>
        <v>0</v>
      </c>
      <c r="I65" s="40">
        <f>IFERROR(_xlfn.XLOOKUP(A65,Staff_Name[Staff Member],Staff_Name[Target T:R Balance],""),"")</f>
        <v>0</v>
      </c>
      <c r="J65" s="40">
        <f>IFERROR(_xlfn.XLOOKUP(A65,Staff_Name[Staff Member],Staff_Name[Target Band],""),"")</f>
        <v>0</v>
      </c>
      <c r="K65" s="40" t="str">
        <f t="shared" si="6"/>
        <v/>
      </c>
      <c r="L65" s="40" t="str">
        <f t="shared" si="7"/>
        <v/>
      </c>
      <c r="M65" s="40" t="str">
        <f t="shared" si="8"/>
        <v>Yes</v>
      </c>
      <c r="O65"/>
      <c r="P65"/>
      <c r="Q65"/>
      <c r="R65"/>
      <c r="S65"/>
      <c r="T65"/>
      <c r="U65"/>
      <c r="W65"/>
      <c r="X65"/>
      <c r="Y65"/>
      <c r="AA65"/>
      <c r="AB65"/>
    </row>
    <row r="66" spans="1:28" x14ac:dyDescent="0.25">
      <c r="A66" s="40"/>
      <c r="B66" s="40">
        <f>_xlfn.XLOOKUP(A66,Staff_Name[Staff Member],Staff_Name[FTE],"")</f>
        <v>0</v>
      </c>
      <c r="C66" s="46">
        <f t="shared" si="0"/>
        <v>0</v>
      </c>
      <c r="D66" s="46">
        <f t="shared" si="1"/>
        <v>0</v>
      </c>
      <c r="E66" s="46">
        <f t="shared" si="2"/>
        <v>0</v>
      </c>
      <c r="F66" s="46">
        <f t="shared" si="3"/>
        <v>0</v>
      </c>
      <c r="G66" s="46">
        <f t="shared" si="4"/>
        <v>0</v>
      </c>
      <c r="H66" s="47">
        <f t="shared" si="5"/>
        <v>0</v>
      </c>
      <c r="I66" s="40">
        <f>IFERROR(_xlfn.XLOOKUP(A66,Staff_Name[Staff Member],Staff_Name[Target T:R Balance],""),"")</f>
        <v>0</v>
      </c>
      <c r="J66" s="40">
        <f>IFERROR(_xlfn.XLOOKUP(A66,Staff_Name[Staff Member],Staff_Name[Target Band],""),"")</f>
        <v>0</v>
      </c>
      <c r="K66" s="40" t="str">
        <f t="shared" si="6"/>
        <v/>
      </c>
      <c r="L66" s="40" t="str">
        <f t="shared" si="7"/>
        <v/>
      </c>
      <c r="M66" s="40" t="str">
        <f t="shared" si="8"/>
        <v>Yes</v>
      </c>
      <c r="O66"/>
      <c r="P66"/>
      <c r="Q66"/>
      <c r="R66"/>
      <c r="S66"/>
      <c r="T66"/>
      <c r="U66"/>
      <c r="W66"/>
      <c r="X66"/>
      <c r="Y66"/>
      <c r="AA66"/>
      <c r="AB66"/>
    </row>
    <row r="67" spans="1:28" x14ac:dyDescent="0.25">
      <c r="A67" s="40"/>
      <c r="B67" s="40">
        <f>_xlfn.XLOOKUP(A67,Staff_Name[Staff Member],Staff_Name[FTE],"")</f>
        <v>0</v>
      </c>
      <c r="C67" s="46">
        <f t="shared" si="0"/>
        <v>0</v>
      </c>
      <c r="D67" s="46">
        <f t="shared" si="1"/>
        <v>0</v>
      </c>
      <c r="E67" s="46">
        <f t="shared" si="2"/>
        <v>0</v>
      </c>
      <c r="F67" s="46">
        <f t="shared" si="3"/>
        <v>0</v>
      </c>
      <c r="G67" s="46">
        <f t="shared" si="4"/>
        <v>0</v>
      </c>
      <c r="H67" s="47">
        <f t="shared" si="5"/>
        <v>0</v>
      </c>
      <c r="I67" s="40">
        <f>IFERROR(_xlfn.XLOOKUP(A67,Staff_Name[Staff Member],Staff_Name[Target T:R Balance],""),"")</f>
        <v>0</v>
      </c>
      <c r="J67" s="40">
        <f>IFERROR(_xlfn.XLOOKUP(A67,Staff_Name[Staff Member],Staff_Name[Target Band],""),"")</f>
        <v>0</v>
      </c>
      <c r="K67" s="40" t="str">
        <f t="shared" si="6"/>
        <v/>
      </c>
      <c r="L67" s="40" t="str">
        <f t="shared" si="7"/>
        <v/>
      </c>
      <c r="M67" s="40" t="str">
        <f t="shared" si="8"/>
        <v>Yes</v>
      </c>
      <c r="O67"/>
      <c r="P67"/>
      <c r="Q67"/>
      <c r="R67"/>
      <c r="S67"/>
      <c r="T67"/>
      <c r="U67"/>
      <c r="W67"/>
      <c r="X67"/>
      <c r="Y67"/>
      <c r="AA67"/>
      <c r="AB67"/>
    </row>
    <row r="68" spans="1:28" x14ac:dyDescent="0.25">
      <c r="A68" s="40"/>
      <c r="B68" s="40">
        <f>_xlfn.XLOOKUP(A68,Staff_Name[Staff Member],Staff_Name[FTE],"")</f>
        <v>0</v>
      </c>
      <c r="C68" s="46">
        <f t="shared" ref="C68:C131" si="9">_xlfn.XLOOKUP(A68,O:O,Q:Q,0)</f>
        <v>0</v>
      </c>
      <c r="D68" s="46">
        <f t="shared" ref="D68:D131" si="10">_xlfn.XLOOKUP(A68,W:W,Y:Y,0)</f>
        <v>0</v>
      </c>
      <c r="E68" s="46">
        <f t="shared" ref="E68:E131" si="11">_xlfn.XLOOKUP(A68,W:W,X:X,0)</f>
        <v>0</v>
      </c>
      <c r="F68" s="46">
        <f t="shared" ref="F68:F131" si="12">_xlfn.XLOOKUP(A68,AA:AA,AB:AB,0)</f>
        <v>0</v>
      </c>
      <c r="G68" s="46">
        <f t="shared" ref="G68:G131" si="13">IFERROR((B68*100)-(SUM(C68:F68)),0)</f>
        <v>0</v>
      </c>
      <c r="H68" s="47">
        <f t="shared" ref="H68:H131" si="14">IFERROR(SUM(C68:G68),"")</f>
        <v>0</v>
      </c>
      <c r="I68" s="40">
        <f>IFERROR(_xlfn.XLOOKUP(A68,Staff_Name[Staff Member],Staff_Name[Target T:R Balance],""),"")</f>
        <v>0</v>
      </c>
      <c r="J68" s="40">
        <f>IFERROR(_xlfn.XLOOKUP(A68,Staff_Name[Staff Member],Staff_Name[Target Band],""),"")</f>
        <v>0</v>
      </c>
      <c r="K68" s="40" t="str">
        <f t="shared" ref="K68:K131" si="15">IFERROR(ROUND(C68/(C68+G68),2),"")</f>
        <v/>
      </c>
      <c r="L68" s="40" t="str">
        <f t="shared" ref="L68:L131" si="16">IF(K68&lt;=0.2,"Research Focused",IF(K68&lt;=0.79,"Balanced Teaching &amp; Research",IF(K68&lt;=1,"Teaching Focused","")))</f>
        <v/>
      </c>
      <c r="M68" s="40" t="str">
        <f t="shared" ref="M68:M131" si="17">IF(J68=L68,"No","Yes")</f>
        <v>Yes</v>
      </c>
      <c r="O68"/>
      <c r="P68"/>
      <c r="Q68"/>
      <c r="R68"/>
      <c r="S68"/>
      <c r="T68"/>
      <c r="U68"/>
      <c r="W68"/>
      <c r="X68"/>
      <c r="Y68"/>
      <c r="AA68"/>
      <c r="AB68"/>
    </row>
    <row r="69" spans="1:28" x14ac:dyDescent="0.25">
      <c r="A69" s="40"/>
      <c r="B69" s="40">
        <f>_xlfn.XLOOKUP(A69,Staff_Name[Staff Member],Staff_Name[FTE],"")</f>
        <v>0</v>
      </c>
      <c r="C69" s="46">
        <f t="shared" si="9"/>
        <v>0</v>
      </c>
      <c r="D69" s="46">
        <f t="shared" si="10"/>
        <v>0</v>
      </c>
      <c r="E69" s="46">
        <f t="shared" si="11"/>
        <v>0</v>
      </c>
      <c r="F69" s="46">
        <f t="shared" si="12"/>
        <v>0</v>
      </c>
      <c r="G69" s="46">
        <f t="shared" si="13"/>
        <v>0</v>
      </c>
      <c r="H69" s="47">
        <f t="shared" si="14"/>
        <v>0</v>
      </c>
      <c r="I69" s="40">
        <f>IFERROR(_xlfn.XLOOKUP(A69,Staff_Name[Staff Member],Staff_Name[Target T:R Balance],""),"")</f>
        <v>0</v>
      </c>
      <c r="J69" s="40">
        <f>IFERROR(_xlfn.XLOOKUP(A69,Staff_Name[Staff Member],Staff_Name[Target Band],""),"")</f>
        <v>0</v>
      </c>
      <c r="K69" s="40" t="str">
        <f t="shared" si="15"/>
        <v/>
      </c>
      <c r="L69" s="40" t="str">
        <f t="shared" si="16"/>
        <v/>
      </c>
      <c r="M69" s="40" t="str">
        <f t="shared" si="17"/>
        <v>Yes</v>
      </c>
      <c r="O69"/>
      <c r="P69"/>
      <c r="Q69"/>
      <c r="R69"/>
      <c r="S69"/>
      <c r="T69"/>
      <c r="U69"/>
      <c r="W69"/>
      <c r="X69"/>
      <c r="Y69"/>
      <c r="AA69"/>
      <c r="AB69"/>
    </row>
    <row r="70" spans="1:28" x14ac:dyDescent="0.25">
      <c r="A70" s="40"/>
      <c r="B70" s="40">
        <f>_xlfn.XLOOKUP(A70,Staff_Name[Staff Member],Staff_Name[FTE],"")</f>
        <v>0</v>
      </c>
      <c r="C70" s="46">
        <f t="shared" si="9"/>
        <v>0</v>
      </c>
      <c r="D70" s="46">
        <f t="shared" si="10"/>
        <v>0</v>
      </c>
      <c r="E70" s="46">
        <f t="shared" si="11"/>
        <v>0</v>
      </c>
      <c r="F70" s="46">
        <f t="shared" si="12"/>
        <v>0</v>
      </c>
      <c r="G70" s="46">
        <f t="shared" si="13"/>
        <v>0</v>
      </c>
      <c r="H70" s="47">
        <f t="shared" si="14"/>
        <v>0</v>
      </c>
      <c r="I70" s="40">
        <f>IFERROR(_xlfn.XLOOKUP(A70,Staff_Name[Staff Member],Staff_Name[Target T:R Balance],""),"")</f>
        <v>0</v>
      </c>
      <c r="J70" s="40">
        <f>IFERROR(_xlfn.XLOOKUP(A70,Staff_Name[Staff Member],Staff_Name[Target Band],""),"")</f>
        <v>0</v>
      </c>
      <c r="K70" s="40" t="str">
        <f t="shared" si="15"/>
        <v/>
      </c>
      <c r="L70" s="40" t="str">
        <f t="shared" si="16"/>
        <v/>
      </c>
      <c r="M70" s="40" t="str">
        <f t="shared" si="17"/>
        <v>Yes</v>
      </c>
      <c r="O70"/>
      <c r="P70"/>
      <c r="Q70"/>
      <c r="R70"/>
      <c r="S70"/>
      <c r="T70"/>
      <c r="U70"/>
      <c r="W70"/>
      <c r="X70"/>
      <c r="Y70"/>
      <c r="AA70"/>
      <c r="AB70"/>
    </row>
    <row r="71" spans="1:28" x14ac:dyDescent="0.25">
      <c r="A71" s="40"/>
      <c r="B71" s="40">
        <f>_xlfn.XLOOKUP(A71,Staff_Name[Staff Member],Staff_Name[FTE],"")</f>
        <v>0</v>
      </c>
      <c r="C71" s="46">
        <f t="shared" si="9"/>
        <v>0</v>
      </c>
      <c r="D71" s="46">
        <f t="shared" si="10"/>
        <v>0</v>
      </c>
      <c r="E71" s="46">
        <f t="shared" si="11"/>
        <v>0</v>
      </c>
      <c r="F71" s="46">
        <f t="shared" si="12"/>
        <v>0</v>
      </c>
      <c r="G71" s="46">
        <f t="shared" si="13"/>
        <v>0</v>
      </c>
      <c r="H71" s="47">
        <f t="shared" si="14"/>
        <v>0</v>
      </c>
      <c r="I71" s="40">
        <f>IFERROR(_xlfn.XLOOKUP(A71,Staff_Name[Staff Member],Staff_Name[Target T:R Balance],""),"")</f>
        <v>0</v>
      </c>
      <c r="J71" s="40">
        <f>IFERROR(_xlfn.XLOOKUP(A71,Staff_Name[Staff Member],Staff_Name[Target Band],""),"")</f>
        <v>0</v>
      </c>
      <c r="K71" s="40" t="str">
        <f t="shared" si="15"/>
        <v/>
      </c>
      <c r="L71" s="40" t="str">
        <f t="shared" si="16"/>
        <v/>
      </c>
      <c r="M71" s="40" t="str">
        <f t="shared" si="17"/>
        <v>Yes</v>
      </c>
      <c r="O71"/>
      <c r="P71"/>
      <c r="Q71"/>
      <c r="R71"/>
      <c r="S71"/>
      <c r="T71"/>
      <c r="U71"/>
      <c r="W71"/>
      <c r="X71"/>
      <c r="Y71"/>
      <c r="AA71"/>
      <c r="AB71"/>
    </row>
    <row r="72" spans="1:28" x14ac:dyDescent="0.25">
      <c r="A72" s="40"/>
      <c r="B72" s="40">
        <f>_xlfn.XLOOKUP(A72,Staff_Name[Staff Member],Staff_Name[FTE],"")</f>
        <v>0</v>
      </c>
      <c r="C72" s="46">
        <f t="shared" si="9"/>
        <v>0</v>
      </c>
      <c r="D72" s="46">
        <f t="shared" si="10"/>
        <v>0</v>
      </c>
      <c r="E72" s="46">
        <f t="shared" si="11"/>
        <v>0</v>
      </c>
      <c r="F72" s="46">
        <f t="shared" si="12"/>
        <v>0</v>
      </c>
      <c r="G72" s="46">
        <f t="shared" si="13"/>
        <v>0</v>
      </c>
      <c r="H72" s="47">
        <f t="shared" si="14"/>
        <v>0</v>
      </c>
      <c r="I72" s="40">
        <f>IFERROR(_xlfn.XLOOKUP(A72,Staff_Name[Staff Member],Staff_Name[Target T:R Balance],""),"")</f>
        <v>0</v>
      </c>
      <c r="J72" s="40">
        <f>IFERROR(_xlfn.XLOOKUP(A72,Staff_Name[Staff Member],Staff_Name[Target Band],""),"")</f>
        <v>0</v>
      </c>
      <c r="K72" s="40" t="str">
        <f t="shared" si="15"/>
        <v/>
      </c>
      <c r="L72" s="40" t="str">
        <f t="shared" si="16"/>
        <v/>
      </c>
      <c r="M72" s="40" t="str">
        <f t="shared" si="17"/>
        <v>Yes</v>
      </c>
      <c r="O72"/>
      <c r="P72"/>
      <c r="Q72"/>
      <c r="R72"/>
      <c r="S72"/>
      <c r="T72"/>
      <c r="U72"/>
      <c r="W72"/>
      <c r="X72"/>
      <c r="Y72"/>
      <c r="AA72"/>
      <c r="AB72"/>
    </row>
    <row r="73" spans="1:28" x14ac:dyDescent="0.25">
      <c r="A73" s="40"/>
      <c r="B73" s="40">
        <f>_xlfn.XLOOKUP(A73,Staff_Name[Staff Member],Staff_Name[FTE],"")</f>
        <v>0</v>
      </c>
      <c r="C73" s="46">
        <f t="shared" si="9"/>
        <v>0</v>
      </c>
      <c r="D73" s="46">
        <f t="shared" si="10"/>
        <v>0</v>
      </c>
      <c r="E73" s="46">
        <f t="shared" si="11"/>
        <v>0</v>
      </c>
      <c r="F73" s="46">
        <f t="shared" si="12"/>
        <v>0</v>
      </c>
      <c r="G73" s="46">
        <f t="shared" si="13"/>
        <v>0</v>
      </c>
      <c r="H73" s="47">
        <f t="shared" si="14"/>
        <v>0</v>
      </c>
      <c r="I73" s="40">
        <f>IFERROR(_xlfn.XLOOKUP(A73,Staff_Name[Staff Member],Staff_Name[Target T:R Balance],""),"")</f>
        <v>0</v>
      </c>
      <c r="J73" s="40">
        <f>IFERROR(_xlfn.XLOOKUP(A73,Staff_Name[Staff Member],Staff_Name[Target Band],""),"")</f>
        <v>0</v>
      </c>
      <c r="K73" s="40" t="str">
        <f t="shared" si="15"/>
        <v/>
      </c>
      <c r="L73" s="40" t="str">
        <f t="shared" si="16"/>
        <v/>
      </c>
      <c r="M73" s="40" t="str">
        <f t="shared" si="17"/>
        <v>Yes</v>
      </c>
      <c r="O73"/>
      <c r="P73"/>
      <c r="Q73"/>
      <c r="R73"/>
      <c r="S73"/>
      <c r="T73"/>
      <c r="U73"/>
      <c r="W73"/>
      <c r="X73"/>
      <c r="Y73"/>
      <c r="AA73"/>
      <c r="AB73"/>
    </row>
    <row r="74" spans="1:28" x14ac:dyDescent="0.25">
      <c r="A74" s="40"/>
      <c r="B74" s="40">
        <f>_xlfn.XLOOKUP(A74,Staff_Name[Staff Member],Staff_Name[FTE],"")</f>
        <v>0</v>
      </c>
      <c r="C74" s="46">
        <f t="shared" si="9"/>
        <v>0</v>
      </c>
      <c r="D74" s="46">
        <f t="shared" si="10"/>
        <v>0</v>
      </c>
      <c r="E74" s="46">
        <f t="shared" si="11"/>
        <v>0</v>
      </c>
      <c r="F74" s="46">
        <f t="shared" si="12"/>
        <v>0</v>
      </c>
      <c r="G74" s="46">
        <f t="shared" si="13"/>
        <v>0</v>
      </c>
      <c r="H74" s="47">
        <f t="shared" si="14"/>
        <v>0</v>
      </c>
      <c r="I74" s="40">
        <f>IFERROR(_xlfn.XLOOKUP(A74,Staff_Name[Staff Member],Staff_Name[Target T:R Balance],""),"")</f>
        <v>0</v>
      </c>
      <c r="J74" s="40">
        <f>IFERROR(_xlfn.XLOOKUP(A74,Staff_Name[Staff Member],Staff_Name[Target Band],""),"")</f>
        <v>0</v>
      </c>
      <c r="K74" s="40" t="str">
        <f t="shared" si="15"/>
        <v/>
      </c>
      <c r="L74" s="40" t="str">
        <f t="shared" si="16"/>
        <v/>
      </c>
      <c r="M74" s="40" t="str">
        <f t="shared" si="17"/>
        <v>Yes</v>
      </c>
      <c r="O74"/>
      <c r="P74"/>
      <c r="Q74"/>
      <c r="R74"/>
      <c r="S74"/>
      <c r="T74"/>
      <c r="U74"/>
      <c r="W74"/>
      <c r="X74"/>
      <c r="Y74"/>
      <c r="AA74"/>
      <c r="AB74"/>
    </row>
    <row r="75" spans="1:28" x14ac:dyDescent="0.25">
      <c r="A75" s="40"/>
      <c r="B75" s="40">
        <f>_xlfn.XLOOKUP(A75,Staff_Name[Staff Member],Staff_Name[FTE],"")</f>
        <v>0</v>
      </c>
      <c r="C75" s="46">
        <f t="shared" si="9"/>
        <v>0</v>
      </c>
      <c r="D75" s="46">
        <f t="shared" si="10"/>
        <v>0</v>
      </c>
      <c r="E75" s="46">
        <f t="shared" si="11"/>
        <v>0</v>
      </c>
      <c r="F75" s="46">
        <f t="shared" si="12"/>
        <v>0</v>
      </c>
      <c r="G75" s="46">
        <f t="shared" si="13"/>
        <v>0</v>
      </c>
      <c r="H75" s="47">
        <f t="shared" si="14"/>
        <v>0</v>
      </c>
      <c r="I75" s="40">
        <f>IFERROR(_xlfn.XLOOKUP(A75,Staff_Name[Staff Member],Staff_Name[Target T:R Balance],""),"")</f>
        <v>0</v>
      </c>
      <c r="J75" s="40">
        <f>IFERROR(_xlfn.XLOOKUP(A75,Staff_Name[Staff Member],Staff_Name[Target Band],""),"")</f>
        <v>0</v>
      </c>
      <c r="K75" s="40" t="str">
        <f t="shared" si="15"/>
        <v/>
      </c>
      <c r="L75" s="40" t="str">
        <f t="shared" si="16"/>
        <v/>
      </c>
      <c r="M75" s="40" t="str">
        <f t="shared" si="17"/>
        <v>Yes</v>
      </c>
      <c r="O75"/>
      <c r="P75"/>
      <c r="Q75"/>
      <c r="R75"/>
      <c r="S75"/>
      <c r="T75"/>
      <c r="U75"/>
      <c r="W75"/>
      <c r="X75"/>
      <c r="Y75"/>
      <c r="AA75"/>
      <c r="AB75"/>
    </row>
    <row r="76" spans="1:28" x14ac:dyDescent="0.25">
      <c r="A76" s="40"/>
      <c r="B76" s="40">
        <f>_xlfn.XLOOKUP(A76,Staff_Name[Staff Member],Staff_Name[FTE],"")</f>
        <v>0</v>
      </c>
      <c r="C76" s="46">
        <f t="shared" si="9"/>
        <v>0</v>
      </c>
      <c r="D76" s="46">
        <f t="shared" si="10"/>
        <v>0</v>
      </c>
      <c r="E76" s="46">
        <f t="shared" si="11"/>
        <v>0</v>
      </c>
      <c r="F76" s="46">
        <f t="shared" si="12"/>
        <v>0</v>
      </c>
      <c r="G76" s="46">
        <f t="shared" si="13"/>
        <v>0</v>
      </c>
      <c r="H76" s="47">
        <f t="shared" si="14"/>
        <v>0</v>
      </c>
      <c r="I76" s="40">
        <f>IFERROR(_xlfn.XLOOKUP(A76,Staff_Name[Staff Member],Staff_Name[Target T:R Balance],""),"")</f>
        <v>0</v>
      </c>
      <c r="J76" s="40">
        <f>IFERROR(_xlfn.XLOOKUP(A76,Staff_Name[Staff Member],Staff_Name[Target Band],""),"")</f>
        <v>0</v>
      </c>
      <c r="K76" s="40" t="str">
        <f t="shared" si="15"/>
        <v/>
      </c>
      <c r="L76" s="40" t="str">
        <f t="shared" si="16"/>
        <v/>
      </c>
      <c r="M76" s="40" t="str">
        <f t="shared" si="17"/>
        <v>Yes</v>
      </c>
      <c r="O76"/>
      <c r="P76"/>
      <c r="Q76"/>
      <c r="R76"/>
      <c r="S76"/>
      <c r="T76"/>
      <c r="U76"/>
      <c r="W76"/>
      <c r="X76"/>
      <c r="Y76"/>
      <c r="AA76"/>
      <c r="AB76"/>
    </row>
    <row r="77" spans="1:28" x14ac:dyDescent="0.25">
      <c r="A77" s="40"/>
      <c r="B77" s="40">
        <f>_xlfn.XLOOKUP(A77,Staff_Name[Staff Member],Staff_Name[FTE],"")</f>
        <v>0</v>
      </c>
      <c r="C77" s="46">
        <f t="shared" si="9"/>
        <v>0</v>
      </c>
      <c r="D77" s="46">
        <f t="shared" si="10"/>
        <v>0</v>
      </c>
      <c r="E77" s="46">
        <f t="shared" si="11"/>
        <v>0</v>
      </c>
      <c r="F77" s="46">
        <f t="shared" si="12"/>
        <v>0</v>
      </c>
      <c r="G77" s="46">
        <f t="shared" si="13"/>
        <v>0</v>
      </c>
      <c r="H77" s="47">
        <f t="shared" si="14"/>
        <v>0</v>
      </c>
      <c r="I77" s="40">
        <f>IFERROR(_xlfn.XLOOKUP(A77,Staff_Name[Staff Member],Staff_Name[Target T:R Balance],""),"")</f>
        <v>0</v>
      </c>
      <c r="J77" s="40">
        <f>IFERROR(_xlfn.XLOOKUP(A77,Staff_Name[Staff Member],Staff_Name[Target Band],""),"")</f>
        <v>0</v>
      </c>
      <c r="K77" s="40" t="str">
        <f t="shared" si="15"/>
        <v/>
      </c>
      <c r="L77" s="40" t="str">
        <f t="shared" si="16"/>
        <v/>
      </c>
      <c r="M77" s="40" t="str">
        <f t="shared" si="17"/>
        <v>Yes</v>
      </c>
      <c r="O77"/>
      <c r="P77"/>
      <c r="Q77"/>
      <c r="R77"/>
      <c r="S77"/>
      <c r="T77"/>
      <c r="U77"/>
      <c r="W77"/>
      <c r="X77"/>
      <c r="Y77"/>
      <c r="AA77"/>
      <c r="AB77"/>
    </row>
    <row r="78" spans="1:28" x14ac:dyDescent="0.25">
      <c r="A78" s="40"/>
      <c r="B78" s="40">
        <f>_xlfn.XLOOKUP(A78,Staff_Name[Staff Member],Staff_Name[FTE],"")</f>
        <v>0</v>
      </c>
      <c r="C78" s="46">
        <f t="shared" si="9"/>
        <v>0</v>
      </c>
      <c r="D78" s="46">
        <f t="shared" si="10"/>
        <v>0</v>
      </c>
      <c r="E78" s="46">
        <f t="shared" si="11"/>
        <v>0</v>
      </c>
      <c r="F78" s="46">
        <f t="shared" si="12"/>
        <v>0</v>
      </c>
      <c r="G78" s="46">
        <f t="shared" si="13"/>
        <v>0</v>
      </c>
      <c r="H78" s="47">
        <f t="shared" si="14"/>
        <v>0</v>
      </c>
      <c r="I78" s="40">
        <f>IFERROR(_xlfn.XLOOKUP(A78,Staff_Name[Staff Member],Staff_Name[Target T:R Balance],""),"")</f>
        <v>0</v>
      </c>
      <c r="J78" s="40">
        <f>IFERROR(_xlfn.XLOOKUP(A78,Staff_Name[Staff Member],Staff_Name[Target Band],""),"")</f>
        <v>0</v>
      </c>
      <c r="K78" s="40" t="str">
        <f t="shared" si="15"/>
        <v/>
      </c>
      <c r="L78" s="40" t="str">
        <f t="shared" si="16"/>
        <v/>
      </c>
      <c r="M78" s="40" t="str">
        <f t="shared" si="17"/>
        <v>Yes</v>
      </c>
      <c r="O78"/>
      <c r="P78"/>
      <c r="Q78"/>
      <c r="R78"/>
      <c r="S78"/>
      <c r="T78"/>
      <c r="U78"/>
      <c r="W78"/>
      <c r="X78"/>
      <c r="Y78"/>
      <c r="AA78"/>
      <c r="AB78"/>
    </row>
    <row r="79" spans="1:28" x14ac:dyDescent="0.25">
      <c r="A79" s="40"/>
      <c r="B79" s="40">
        <f>_xlfn.XLOOKUP(A79,Staff_Name[Staff Member],Staff_Name[FTE],"")</f>
        <v>0</v>
      </c>
      <c r="C79" s="46">
        <f t="shared" si="9"/>
        <v>0</v>
      </c>
      <c r="D79" s="46">
        <f t="shared" si="10"/>
        <v>0</v>
      </c>
      <c r="E79" s="46">
        <f t="shared" si="11"/>
        <v>0</v>
      </c>
      <c r="F79" s="46">
        <f t="shared" si="12"/>
        <v>0</v>
      </c>
      <c r="G79" s="46">
        <f t="shared" si="13"/>
        <v>0</v>
      </c>
      <c r="H79" s="47">
        <f t="shared" si="14"/>
        <v>0</v>
      </c>
      <c r="I79" s="40">
        <f>IFERROR(_xlfn.XLOOKUP(A79,Staff_Name[Staff Member],Staff_Name[Target T:R Balance],""),"")</f>
        <v>0</v>
      </c>
      <c r="J79" s="40">
        <f>IFERROR(_xlfn.XLOOKUP(A79,Staff_Name[Staff Member],Staff_Name[Target Band],""),"")</f>
        <v>0</v>
      </c>
      <c r="K79" s="40" t="str">
        <f t="shared" si="15"/>
        <v/>
      </c>
      <c r="L79" s="40" t="str">
        <f t="shared" si="16"/>
        <v/>
      </c>
      <c r="M79" s="40" t="str">
        <f t="shared" si="17"/>
        <v>Yes</v>
      </c>
      <c r="O79"/>
      <c r="P79"/>
      <c r="Q79"/>
      <c r="R79"/>
      <c r="S79"/>
      <c r="T79"/>
      <c r="U79"/>
      <c r="W79"/>
      <c r="X79"/>
      <c r="Y79"/>
      <c r="AA79"/>
      <c r="AB79"/>
    </row>
    <row r="80" spans="1:28" x14ac:dyDescent="0.25">
      <c r="A80" s="40"/>
      <c r="B80" s="40">
        <f>_xlfn.XLOOKUP(A80,Staff_Name[Staff Member],Staff_Name[FTE],"")</f>
        <v>0</v>
      </c>
      <c r="C80" s="46">
        <f t="shared" si="9"/>
        <v>0</v>
      </c>
      <c r="D80" s="46">
        <f t="shared" si="10"/>
        <v>0</v>
      </c>
      <c r="E80" s="46">
        <f t="shared" si="11"/>
        <v>0</v>
      </c>
      <c r="F80" s="46">
        <f t="shared" si="12"/>
        <v>0</v>
      </c>
      <c r="G80" s="46">
        <f t="shared" si="13"/>
        <v>0</v>
      </c>
      <c r="H80" s="47">
        <f t="shared" si="14"/>
        <v>0</v>
      </c>
      <c r="I80" s="40">
        <f>IFERROR(_xlfn.XLOOKUP(A80,Staff_Name[Staff Member],Staff_Name[Target T:R Balance],""),"")</f>
        <v>0</v>
      </c>
      <c r="J80" s="40">
        <f>IFERROR(_xlfn.XLOOKUP(A80,Staff_Name[Staff Member],Staff_Name[Target Band],""),"")</f>
        <v>0</v>
      </c>
      <c r="K80" s="40" t="str">
        <f t="shared" si="15"/>
        <v/>
      </c>
      <c r="L80" s="40" t="str">
        <f t="shared" si="16"/>
        <v/>
      </c>
      <c r="M80" s="40" t="str">
        <f t="shared" si="17"/>
        <v>Yes</v>
      </c>
      <c r="O80"/>
      <c r="P80"/>
      <c r="Q80"/>
      <c r="R80"/>
      <c r="S80"/>
      <c r="T80"/>
      <c r="U80"/>
      <c r="W80"/>
      <c r="X80"/>
      <c r="Y80"/>
      <c r="AA80"/>
      <c r="AB80"/>
    </row>
    <row r="81" spans="1:28" x14ac:dyDescent="0.25">
      <c r="A81" s="40"/>
      <c r="B81" s="40">
        <f>_xlfn.XLOOKUP(A81,Staff_Name[Staff Member],Staff_Name[FTE],"")</f>
        <v>0</v>
      </c>
      <c r="C81" s="46">
        <f t="shared" si="9"/>
        <v>0</v>
      </c>
      <c r="D81" s="46">
        <f t="shared" si="10"/>
        <v>0</v>
      </c>
      <c r="E81" s="46">
        <f t="shared" si="11"/>
        <v>0</v>
      </c>
      <c r="F81" s="46">
        <f t="shared" si="12"/>
        <v>0</v>
      </c>
      <c r="G81" s="46">
        <f t="shared" si="13"/>
        <v>0</v>
      </c>
      <c r="H81" s="47">
        <f t="shared" si="14"/>
        <v>0</v>
      </c>
      <c r="I81" s="40">
        <f>IFERROR(_xlfn.XLOOKUP(A81,Staff_Name[Staff Member],Staff_Name[Target T:R Balance],""),"")</f>
        <v>0</v>
      </c>
      <c r="J81" s="40">
        <f>IFERROR(_xlfn.XLOOKUP(A81,Staff_Name[Staff Member],Staff_Name[Target Band],""),"")</f>
        <v>0</v>
      </c>
      <c r="K81" s="40" t="str">
        <f t="shared" si="15"/>
        <v/>
      </c>
      <c r="L81" s="40" t="str">
        <f t="shared" si="16"/>
        <v/>
      </c>
      <c r="M81" s="40" t="str">
        <f t="shared" si="17"/>
        <v>Yes</v>
      </c>
      <c r="O81"/>
      <c r="P81"/>
      <c r="Q81"/>
      <c r="R81"/>
      <c r="S81"/>
      <c r="T81"/>
      <c r="U81"/>
      <c r="W81"/>
      <c r="X81"/>
      <c r="Y81"/>
      <c r="AA81"/>
      <c r="AB81"/>
    </row>
    <row r="82" spans="1:28" x14ac:dyDescent="0.25">
      <c r="A82" s="40"/>
      <c r="B82" s="40">
        <f>_xlfn.XLOOKUP(A82,Staff_Name[Staff Member],Staff_Name[FTE],"")</f>
        <v>0</v>
      </c>
      <c r="C82" s="46">
        <f t="shared" si="9"/>
        <v>0</v>
      </c>
      <c r="D82" s="46">
        <f t="shared" si="10"/>
        <v>0</v>
      </c>
      <c r="E82" s="46">
        <f t="shared" si="11"/>
        <v>0</v>
      </c>
      <c r="F82" s="46">
        <f t="shared" si="12"/>
        <v>0</v>
      </c>
      <c r="G82" s="46">
        <f t="shared" si="13"/>
        <v>0</v>
      </c>
      <c r="H82" s="47">
        <f t="shared" si="14"/>
        <v>0</v>
      </c>
      <c r="I82" s="40">
        <f>IFERROR(_xlfn.XLOOKUP(A82,Staff_Name[Staff Member],Staff_Name[Target T:R Balance],""),"")</f>
        <v>0</v>
      </c>
      <c r="J82" s="40">
        <f>IFERROR(_xlfn.XLOOKUP(A82,Staff_Name[Staff Member],Staff_Name[Target Band],""),"")</f>
        <v>0</v>
      </c>
      <c r="K82" s="40" t="str">
        <f t="shared" si="15"/>
        <v/>
      </c>
      <c r="L82" s="40" t="str">
        <f t="shared" si="16"/>
        <v/>
      </c>
      <c r="M82" s="40" t="str">
        <f t="shared" si="17"/>
        <v>Yes</v>
      </c>
      <c r="O82"/>
      <c r="P82"/>
      <c r="Q82"/>
      <c r="R82"/>
      <c r="S82"/>
      <c r="T82"/>
      <c r="U82"/>
      <c r="W82"/>
      <c r="X82"/>
      <c r="Y82"/>
      <c r="AA82"/>
      <c r="AB82"/>
    </row>
    <row r="83" spans="1:28" x14ac:dyDescent="0.25">
      <c r="A83" s="40"/>
      <c r="B83" s="40">
        <f>_xlfn.XLOOKUP(A83,Staff_Name[Staff Member],Staff_Name[FTE],"")</f>
        <v>0</v>
      </c>
      <c r="C83" s="46">
        <f t="shared" si="9"/>
        <v>0</v>
      </c>
      <c r="D83" s="46">
        <f t="shared" si="10"/>
        <v>0</v>
      </c>
      <c r="E83" s="46">
        <f t="shared" si="11"/>
        <v>0</v>
      </c>
      <c r="F83" s="46">
        <f t="shared" si="12"/>
        <v>0</v>
      </c>
      <c r="G83" s="46">
        <f t="shared" si="13"/>
        <v>0</v>
      </c>
      <c r="H83" s="47">
        <f t="shared" si="14"/>
        <v>0</v>
      </c>
      <c r="I83" s="40">
        <f>IFERROR(_xlfn.XLOOKUP(A83,Staff_Name[Staff Member],Staff_Name[Target T:R Balance],""),"")</f>
        <v>0</v>
      </c>
      <c r="J83" s="40">
        <f>IFERROR(_xlfn.XLOOKUP(A83,Staff_Name[Staff Member],Staff_Name[Target Band],""),"")</f>
        <v>0</v>
      </c>
      <c r="K83" s="40" t="str">
        <f t="shared" si="15"/>
        <v/>
      </c>
      <c r="L83" s="40" t="str">
        <f t="shared" si="16"/>
        <v/>
      </c>
      <c r="M83" s="40" t="str">
        <f t="shared" si="17"/>
        <v>Yes</v>
      </c>
      <c r="O83"/>
      <c r="P83"/>
      <c r="Q83"/>
      <c r="R83"/>
      <c r="S83"/>
      <c r="T83"/>
      <c r="U83"/>
      <c r="W83"/>
      <c r="X83"/>
      <c r="Y83"/>
      <c r="AA83"/>
      <c r="AB83"/>
    </row>
    <row r="84" spans="1:28" x14ac:dyDescent="0.25">
      <c r="A84" s="40"/>
      <c r="B84" s="40">
        <f>_xlfn.XLOOKUP(A84,Staff_Name[Staff Member],Staff_Name[FTE],"")</f>
        <v>0</v>
      </c>
      <c r="C84" s="46">
        <f t="shared" si="9"/>
        <v>0</v>
      </c>
      <c r="D84" s="46">
        <f t="shared" si="10"/>
        <v>0</v>
      </c>
      <c r="E84" s="46">
        <f t="shared" si="11"/>
        <v>0</v>
      </c>
      <c r="F84" s="46">
        <f t="shared" si="12"/>
        <v>0</v>
      </c>
      <c r="G84" s="46">
        <f t="shared" si="13"/>
        <v>0</v>
      </c>
      <c r="H84" s="47">
        <f t="shared" si="14"/>
        <v>0</v>
      </c>
      <c r="I84" s="40">
        <f>IFERROR(_xlfn.XLOOKUP(A84,Staff_Name[Staff Member],Staff_Name[Target T:R Balance],""),"")</f>
        <v>0</v>
      </c>
      <c r="J84" s="40">
        <f>IFERROR(_xlfn.XLOOKUP(A84,Staff_Name[Staff Member],Staff_Name[Target Band],""),"")</f>
        <v>0</v>
      </c>
      <c r="K84" s="40" t="str">
        <f t="shared" si="15"/>
        <v/>
      </c>
      <c r="L84" s="40" t="str">
        <f t="shared" si="16"/>
        <v/>
      </c>
      <c r="M84" s="40" t="str">
        <f t="shared" si="17"/>
        <v>Yes</v>
      </c>
      <c r="O84"/>
      <c r="P84"/>
      <c r="Q84"/>
      <c r="R84"/>
      <c r="S84"/>
      <c r="T84"/>
      <c r="U84"/>
      <c r="W84"/>
      <c r="X84"/>
      <c r="Y84"/>
      <c r="AA84"/>
      <c r="AB84"/>
    </row>
    <row r="85" spans="1:28" x14ac:dyDescent="0.25">
      <c r="A85" s="40"/>
      <c r="B85" s="40">
        <f>_xlfn.XLOOKUP(A85,Staff_Name[Staff Member],Staff_Name[FTE],"")</f>
        <v>0</v>
      </c>
      <c r="C85" s="46">
        <f t="shared" si="9"/>
        <v>0</v>
      </c>
      <c r="D85" s="46">
        <f t="shared" si="10"/>
        <v>0</v>
      </c>
      <c r="E85" s="46">
        <f t="shared" si="11"/>
        <v>0</v>
      </c>
      <c r="F85" s="46">
        <f t="shared" si="12"/>
        <v>0</v>
      </c>
      <c r="G85" s="46">
        <f t="shared" si="13"/>
        <v>0</v>
      </c>
      <c r="H85" s="47">
        <f t="shared" si="14"/>
        <v>0</v>
      </c>
      <c r="I85" s="40">
        <f>IFERROR(_xlfn.XLOOKUP(A85,Staff_Name[Staff Member],Staff_Name[Target T:R Balance],""),"")</f>
        <v>0</v>
      </c>
      <c r="J85" s="40">
        <f>IFERROR(_xlfn.XLOOKUP(A85,Staff_Name[Staff Member],Staff_Name[Target Band],""),"")</f>
        <v>0</v>
      </c>
      <c r="K85" s="40" t="str">
        <f t="shared" si="15"/>
        <v/>
      </c>
      <c r="L85" s="40" t="str">
        <f t="shared" si="16"/>
        <v/>
      </c>
      <c r="M85" s="40" t="str">
        <f t="shared" si="17"/>
        <v>Yes</v>
      </c>
      <c r="O85"/>
      <c r="P85"/>
      <c r="Q85"/>
      <c r="R85"/>
      <c r="S85"/>
      <c r="T85"/>
      <c r="U85"/>
      <c r="W85"/>
      <c r="X85"/>
      <c r="Y85"/>
      <c r="AA85"/>
      <c r="AB85"/>
    </row>
    <row r="86" spans="1:28" x14ac:dyDescent="0.25">
      <c r="A86" s="40"/>
      <c r="B86" s="40">
        <f>_xlfn.XLOOKUP(A86,Staff_Name[Staff Member],Staff_Name[FTE],"")</f>
        <v>0</v>
      </c>
      <c r="C86" s="46">
        <f t="shared" si="9"/>
        <v>0</v>
      </c>
      <c r="D86" s="46">
        <f t="shared" si="10"/>
        <v>0</v>
      </c>
      <c r="E86" s="46">
        <f t="shared" si="11"/>
        <v>0</v>
      </c>
      <c r="F86" s="46">
        <f t="shared" si="12"/>
        <v>0</v>
      </c>
      <c r="G86" s="46">
        <f t="shared" si="13"/>
        <v>0</v>
      </c>
      <c r="H86" s="47">
        <f t="shared" si="14"/>
        <v>0</v>
      </c>
      <c r="I86" s="40">
        <f>IFERROR(_xlfn.XLOOKUP(A86,Staff_Name[Staff Member],Staff_Name[Target T:R Balance],""),"")</f>
        <v>0</v>
      </c>
      <c r="J86" s="40">
        <f>IFERROR(_xlfn.XLOOKUP(A86,Staff_Name[Staff Member],Staff_Name[Target Band],""),"")</f>
        <v>0</v>
      </c>
      <c r="K86" s="40" t="str">
        <f t="shared" si="15"/>
        <v/>
      </c>
      <c r="L86" s="40" t="str">
        <f t="shared" si="16"/>
        <v/>
      </c>
      <c r="M86" s="40" t="str">
        <f t="shared" si="17"/>
        <v>Yes</v>
      </c>
      <c r="O86"/>
      <c r="P86"/>
      <c r="Q86"/>
      <c r="R86"/>
      <c r="S86"/>
      <c r="T86"/>
      <c r="U86"/>
      <c r="W86"/>
      <c r="X86"/>
      <c r="Y86"/>
      <c r="AA86"/>
      <c r="AB86"/>
    </row>
    <row r="87" spans="1:28" x14ac:dyDescent="0.25">
      <c r="A87" s="40"/>
      <c r="B87" s="40">
        <f>_xlfn.XLOOKUP(A87,Staff_Name[Staff Member],Staff_Name[FTE],"")</f>
        <v>0</v>
      </c>
      <c r="C87" s="46">
        <f t="shared" si="9"/>
        <v>0</v>
      </c>
      <c r="D87" s="46">
        <f t="shared" si="10"/>
        <v>0</v>
      </c>
      <c r="E87" s="46">
        <f t="shared" si="11"/>
        <v>0</v>
      </c>
      <c r="F87" s="46">
        <f t="shared" si="12"/>
        <v>0</v>
      </c>
      <c r="G87" s="46">
        <f t="shared" si="13"/>
        <v>0</v>
      </c>
      <c r="H87" s="47">
        <f t="shared" si="14"/>
        <v>0</v>
      </c>
      <c r="I87" s="40">
        <f>IFERROR(_xlfn.XLOOKUP(A87,Staff_Name[Staff Member],Staff_Name[Target T:R Balance],""),"")</f>
        <v>0</v>
      </c>
      <c r="J87" s="40">
        <f>IFERROR(_xlfn.XLOOKUP(A87,Staff_Name[Staff Member],Staff_Name[Target Band],""),"")</f>
        <v>0</v>
      </c>
      <c r="K87" s="40" t="str">
        <f t="shared" si="15"/>
        <v/>
      </c>
      <c r="L87" s="40" t="str">
        <f t="shared" si="16"/>
        <v/>
      </c>
      <c r="M87" s="40" t="str">
        <f t="shared" si="17"/>
        <v>Yes</v>
      </c>
      <c r="O87"/>
      <c r="P87"/>
      <c r="Q87"/>
      <c r="R87"/>
      <c r="S87"/>
      <c r="T87"/>
      <c r="U87"/>
      <c r="W87"/>
      <c r="X87"/>
      <c r="Y87"/>
      <c r="AA87"/>
      <c r="AB87"/>
    </row>
    <row r="88" spans="1:28" x14ac:dyDescent="0.25">
      <c r="A88" s="40"/>
      <c r="B88" s="40">
        <f>_xlfn.XLOOKUP(A88,Staff_Name[Staff Member],Staff_Name[FTE],"")</f>
        <v>0</v>
      </c>
      <c r="C88" s="46">
        <f t="shared" si="9"/>
        <v>0</v>
      </c>
      <c r="D88" s="46">
        <f t="shared" si="10"/>
        <v>0</v>
      </c>
      <c r="E88" s="46">
        <f t="shared" si="11"/>
        <v>0</v>
      </c>
      <c r="F88" s="46">
        <f t="shared" si="12"/>
        <v>0</v>
      </c>
      <c r="G88" s="46">
        <f t="shared" si="13"/>
        <v>0</v>
      </c>
      <c r="H88" s="47">
        <f t="shared" si="14"/>
        <v>0</v>
      </c>
      <c r="I88" s="40">
        <f>IFERROR(_xlfn.XLOOKUP(A88,Staff_Name[Staff Member],Staff_Name[Target T:R Balance],""),"")</f>
        <v>0</v>
      </c>
      <c r="J88" s="40">
        <f>IFERROR(_xlfn.XLOOKUP(A88,Staff_Name[Staff Member],Staff_Name[Target Band],""),"")</f>
        <v>0</v>
      </c>
      <c r="K88" s="40" t="str">
        <f t="shared" si="15"/>
        <v/>
      </c>
      <c r="L88" s="40" t="str">
        <f t="shared" si="16"/>
        <v/>
      </c>
      <c r="M88" s="40" t="str">
        <f t="shared" si="17"/>
        <v>Yes</v>
      </c>
      <c r="O88"/>
      <c r="P88"/>
      <c r="Q88"/>
      <c r="R88"/>
      <c r="S88"/>
      <c r="T88"/>
      <c r="U88"/>
      <c r="W88"/>
      <c r="X88"/>
      <c r="Y88"/>
      <c r="AA88"/>
      <c r="AB88"/>
    </row>
    <row r="89" spans="1:28" x14ac:dyDescent="0.25">
      <c r="A89" s="40"/>
      <c r="B89" s="40">
        <f>_xlfn.XLOOKUP(A89,Staff_Name[Staff Member],Staff_Name[FTE],"")</f>
        <v>0</v>
      </c>
      <c r="C89" s="46">
        <f t="shared" si="9"/>
        <v>0</v>
      </c>
      <c r="D89" s="46">
        <f t="shared" si="10"/>
        <v>0</v>
      </c>
      <c r="E89" s="46">
        <f t="shared" si="11"/>
        <v>0</v>
      </c>
      <c r="F89" s="46">
        <f t="shared" si="12"/>
        <v>0</v>
      </c>
      <c r="G89" s="46">
        <f t="shared" si="13"/>
        <v>0</v>
      </c>
      <c r="H89" s="47">
        <f t="shared" si="14"/>
        <v>0</v>
      </c>
      <c r="I89" s="40">
        <f>IFERROR(_xlfn.XLOOKUP(A89,Staff_Name[Staff Member],Staff_Name[Target T:R Balance],""),"")</f>
        <v>0</v>
      </c>
      <c r="J89" s="40">
        <f>IFERROR(_xlfn.XLOOKUP(A89,Staff_Name[Staff Member],Staff_Name[Target Band],""),"")</f>
        <v>0</v>
      </c>
      <c r="K89" s="40" t="str">
        <f t="shared" si="15"/>
        <v/>
      </c>
      <c r="L89" s="40" t="str">
        <f t="shared" si="16"/>
        <v/>
      </c>
      <c r="M89" s="40" t="str">
        <f t="shared" si="17"/>
        <v>Yes</v>
      </c>
      <c r="O89"/>
      <c r="P89"/>
      <c r="Q89"/>
      <c r="R89"/>
      <c r="S89"/>
      <c r="T89"/>
      <c r="U89"/>
      <c r="W89"/>
      <c r="X89"/>
      <c r="Y89"/>
      <c r="AA89"/>
      <c r="AB89"/>
    </row>
    <row r="90" spans="1:28" x14ac:dyDescent="0.25">
      <c r="A90" s="40"/>
      <c r="B90" s="40">
        <f>_xlfn.XLOOKUP(A90,Staff_Name[Staff Member],Staff_Name[FTE],"")</f>
        <v>0</v>
      </c>
      <c r="C90" s="46">
        <f t="shared" si="9"/>
        <v>0</v>
      </c>
      <c r="D90" s="46">
        <f t="shared" si="10"/>
        <v>0</v>
      </c>
      <c r="E90" s="46">
        <f t="shared" si="11"/>
        <v>0</v>
      </c>
      <c r="F90" s="46">
        <f t="shared" si="12"/>
        <v>0</v>
      </c>
      <c r="G90" s="46">
        <f t="shared" si="13"/>
        <v>0</v>
      </c>
      <c r="H90" s="47">
        <f t="shared" si="14"/>
        <v>0</v>
      </c>
      <c r="I90" s="40">
        <f>IFERROR(_xlfn.XLOOKUP(A90,Staff_Name[Staff Member],Staff_Name[Target T:R Balance],""),"")</f>
        <v>0</v>
      </c>
      <c r="J90" s="40">
        <f>IFERROR(_xlfn.XLOOKUP(A90,Staff_Name[Staff Member],Staff_Name[Target Band],""),"")</f>
        <v>0</v>
      </c>
      <c r="K90" s="40" t="str">
        <f t="shared" si="15"/>
        <v/>
      </c>
      <c r="L90" s="40" t="str">
        <f t="shared" si="16"/>
        <v/>
      </c>
      <c r="M90" s="40" t="str">
        <f t="shared" si="17"/>
        <v>Yes</v>
      </c>
      <c r="O90"/>
      <c r="P90"/>
      <c r="Q90"/>
      <c r="R90"/>
      <c r="S90"/>
      <c r="T90"/>
      <c r="U90"/>
      <c r="W90"/>
      <c r="X90"/>
      <c r="Y90"/>
      <c r="AA90"/>
      <c r="AB90"/>
    </row>
    <row r="91" spans="1:28" x14ac:dyDescent="0.25">
      <c r="A91" s="40"/>
      <c r="B91" s="40">
        <f>_xlfn.XLOOKUP(A91,Staff_Name[Staff Member],Staff_Name[FTE],"")</f>
        <v>0</v>
      </c>
      <c r="C91" s="46">
        <f t="shared" si="9"/>
        <v>0</v>
      </c>
      <c r="D91" s="46">
        <f t="shared" si="10"/>
        <v>0</v>
      </c>
      <c r="E91" s="46">
        <f t="shared" si="11"/>
        <v>0</v>
      </c>
      <c r="F91" s="46">
        <f t="shared" si="12"/>
        <v>0</v>
      </c>
      <c r="G91" s="46">
        <f t="shared" si="13"/>
        <v>0</v>
      </c>
      <c r="H91" s="47">
        <f t="shared" si="14"/>
        <v>0</v>
      </c>
      <c r="I91" s="40">
        <f>IFERROR(_xlfn.XLOOKUP(A91,Staff_Name[Staff Member],Staff_Name[Target T:R Balance],""),"")</f>
        <v>0</v>
      </c>
      <c r="J91" s="40">
        <f>IFERROR(_xlfn.XLOOKUP(A91,Staff_Name[Staff Member],Staff_Name[Target Band],""),"")</f>
        <v>0</v>
      </c>
      <c r="K91" s="40" t="str">
        <f t="shared" si="15"/>
        <v/>
      </c>
      <c r="L91" s="40" t="str">
        <f t="shared" si="16"/>
        <v/>
      </c>
      <c r="M91" s="40" t="str">
        <f t="shared" si="17"/>
        <v>Yes</v>
      </c>
      <c r="O91"/>
      <c r="P91"/>
      <c r="Q91"/>
      <c r="R91"/>
      <c r="S91"/>
      <c r="T91"/>
      <c r="U91"/>
      <c r="W91"/>
      <c r="X91"/>
      <c r="Y91"/>
      <c r="AA91"/>
      <c r="AB91"/>
    </row>
    <row r="92" spans="1:28" x14ac:dyDescent="0.25">
      <c r="A92" s="40"/>
      <c r="B92" s="40">
        <f>_xlfn.XLOOKUP(A92,Staff_Name[Staff Member],Staff_Name[FTE],"")</f>
        <v>0</v>
      </c>
      <c r="C92" s="46">
        <f t="shared" si="9"/>
        <v>0</v>
      </c>
      <c r="D92" s="46">
        <f t="shared" si="10"/>
        <v>0</v>
      </c>
      <c r="E92" s="46">
        <f t="shared" si="11"/>
        <v>0</v>
      </c>
      <c r="F92" s="46">
        <f t="shared" si="12"/>
        <v>0</v>
      </c>
      <c r="G92" s="46">
        <f t="shared" si="13"/>
        <v>0</v>
      </c>
      <c r="H92" s="47">
        <f t="shared" si="14"/>
        <v>0</v>
      </c>
      <c r="I92" s="40">
        <f>IFERROR(_xlfn.XLOOKUP(A92,Staff_Name[Staff Member],Staff_Name[Target T:R Balance],""),"")</f>
        <v>0</v>
      </c>
      <c r="J92" s="40">
        <f>IFERROR(_xlfn.XLOOKUP(A92,Staff_Name[Staff Member],Staff_Name[Target Band],""),"")</f>
        <v>0</v>
      </c>
      <c r="K92" s="40" t="str">
        <f t="shared" si="15"/>
        <v/>
      </c>
      <c r="L92" s="40" t="str">
        <f t="shared" si="16"/>
        <v/>
      </c>
      <c r="M92" s="40" t="str">
        <f t="shared" si="17"/>
        <v>Yes</v>
      </c>
      <c r="O92"/>
      <c r="P92"/>
      <c r="Q92"/>
      <c r="R92"/>
      <c r="S92"/>
      <c r="T92"/>
      <c r="U92"/>
      <c r="W92"/>
      <c r="X92"/>
      <c r="Y92"/>
      <c r="AA92"/>
      <c r="AB92"/>
    </row>
    <row r="93" spans="1:28" x14ac:dyDescent="0.25">
      <c r="A93" s="40"/>
      <c r="B93" s="40">
        <f>_xlfn.XLOOKUP(A93,Staff_Name[Staff Member],Staff_Name[FTE],"")</f>
        <v>0</v>
      </c>
      <c r="C93" s="46">
        <f t="shared" si="9"/>
        <v>0</v>
      </c>
      <c r="D93" s="46">
        <f t="shared" si="10"/>
        <v>0</v>
      </c>
      <c r="E93" s="46">
        <f t="shared" si="11"/>
        <v>0</v>
      </c>
      <c r="F93" s="46">
        <f t="shared" si="12"/>
        <v>0</v>
      </c>
      <c r="G93" s="46">
        <f t="shared" si="13"/>
        <v>0</v>
      </c>
      <c r="H93" s="47">
        <f t="shared" si="14"/>
        <v>0</v>
      </c>
      <c r="I93" s="40">
        <f>IFERROR(_xlfn.XLOOKUP(A93,Staff_Name[Staff Member],Staff_Name[Target T:R Balance],""),"")</f>
        <v>0</v>
      </c>
      <c r="J93" s="40">
        <f>IFERROR(_xlfn.XLOOKUP(A93,Staff_Name[Staff Member],Staff_Name[Target Band],""),"")</f>
        <v>0</v>
      </c>
      <c r="K93" s="40" t="str">
        <f t="shared" si="15"/>
        <v/>
      </c>
      <c r="L93" s="40" t="str">
        <f t="shared" si="16"/>
        <v/>
      </c>
      <c r="M93" s="40" t="str">
        <f t="shared" si="17"/>
        <v>Yes</v>
      </c>
      <c r="O93"/>
      <c r="P93"/>
      <c r="Q93"/>
      <c r="R93"/>
      <c r="S93"/>
      <c r="T93"/>
      <c r="U93"/>
      <c r="W93"/>
      <c r="X93"/>
      <c r="Y93"/>
      <c r="AA93"/>
      <c r="AB93"/>
    </row>
    <row r="94" spans="1:28" x14ac:dyDescent="0.25">
      <c r="A94" s="40"/>
      <c r="B94" s="40">
        <f>_xlfn.XLOOKUP(A94,Staff_Name[Staff Member],Staff_Name[FTE],"")</f>
        <v>0</v>
      </c>
      <c r="C94" s="46">
        <f t="shared" si="9"/>
        <v>0</v>
      </c>
      <c r="D94" s="46">
        <f t="shared" si="10"/>
        <v>0</v>
      </c>
      <c r="E94" s="46">
        <f t="shared" si="11"/>
        <v>0</v>
      </c>
      <c r="F94" s="46">
        <f t="shared" si="12"/>
        <v>0</v>
      </c>
      <c r="G94" s="46">
        <f t="shared" si="13"/>
        <v>0</v>
      </c>
      <c r="H94" s="47">
        <f t="shared" si="14"/>
        <v>0</v>
      </c>
      <c r="I94" s="40">
        <f>IFERROR(_xlfn.XLOOKUP(A94,Staff_Name[Staff Member],Staff_Name[Target T:R Balance],""),"")</f>
        <v>0</v>
      </c>
      <c r="J94" s="40">
        <f>IFERROR(_xlfn.XLOOKUP(A94,Staff_Name[Staff Member],Staff_Name[Target Band],""),"")</f>
        <v>0</v>
      </c>
      <c r="K94" s="40" t="str">
        <f t="shared" si="15"/>
        <v/>
      </c>
      <c r="L94" s="40" t="str">
        <f t="shared" si="16"/>
        <v/>
      </c>
      <c r="M94" s="40" t="str">
        <f t="shared" si="17"/>
        <v>Yes</v>
      </c>
      <c r="O94"/>
      <c r="P94"/>
      <c r="Q94"/>
      <c r="R94"/>
      <c r="S94"/>
      <c r="T94"/>
      <c r="U94"/>
      <c r="W94"/>
      <c r="X94"/>
      <c r="Y94"/>
      <c r="AA94"/>
      <c r="AB94"/>
    </row>
    <row r="95" spans="1:28" x14ac:dyDescent="0.25">
      <c r="A95" s="40"/>
      <c r="B95" s="40">
        <f>_xlfn.XLOOKUP(A95,Staff_Name[Staff Member],Staff_Name[FTE],"")</f>
        <v>0</v>
      </c>
      <c r="C95" s="46">
        <f t="shared" si="9"/>
        <v>0</v>
      </c>
      <c r="D95" s="46">
        <f t="shared" si="10"/>
        <v>0</v>
      </c>
      <c r="E95" s="46">
        <f t="shared" si="11"/>
        <v>0</v>
      </c>
      <c r="F95" s="46">
        <f t="shared" si="12"/>
        <v>0</v>
      </c>
      <c r="G95" s="46">
        <f t="shared" si="13"/>
        <v>0</v>
      </c>
      <c r="H95" s="47">
        <f t="shared" si="14"/>
        <v>0</v>
      </c>
      <c r="I95" s="40">
        <f>IFERROR(_xlfn.XLOOKUP(A95,Staff_Name[Staff Member],Staff_Name[Target T:R Balance],""),"")</f>
        <v>0</v>
      </c>
      <c r="J95" s="40">
        <f>IFERROR(_xlfn.XLOOKUP(A95,Staff_Name[Staff Member],Staff_Name[Target Band],""),"")</f>
        <v>0</v>
      </c>
      <c r="K95" s="40" t="str">
        <f t="shared" si="15"/>
        <v/>
      </c>
      <c r="L95" s="40" t="str">
        <f t="shared" si="16"/>
        <v/>
      </c>
      <c r="M95" s="40" t="str">
        <f t="shared" si="17"/>
        <v>Yes</v>
      </c>
      <c r="O95"/>
      <c r="P95"/>
      <c r="Q95"/>
      <c r="R95"/>
      <c r="S95"/>
      <c r="T95"/>
      <c r="U95"/>
      <c r="W95"/>
      <c r="X95"/>
      <c r="Y95"/>
      <c r="AA95"/>
      <c r="AB95"/>
    </row>
    <row r="96" spans="1:28" x14ac:dyDescent="0.25">
      <c r="A96" s="40"/>
      <c r="B96" s="40">
        <f>_xlfn.XLOOKUP(A96,Staff_Name[Staff Member],Staff_Name[FTE],"")</f>
        <v>0</v>
      </c>
      <c r="C96" s="46">
        <f t="shared" si="9"/>
        <v>0</v>
      </c>
      <c r="D96" s="46">
        <f t="shared" si="10"/>
        <v>0</v>
      </c>
      <c r="E96" s="46">
        <f t="shared" si="11"/>
        <v>0</v>
      </c>
      <c r="F96" s="46">
        <f t="shared" si="12"/>
        <v>0</v>
      </c>
      <c r="G96" s="46">
        <f t="shared" si="13"/>
        <v>0</v>
      </c>
      <c r="H96" s="47">
        <f t="shared" si="14"/>
        <v>0</v>
      </c>
      <c r="I96" s="40">
        <f>IFERROR(_xlfn.XLOOKUP(A96,Staff_Name[Staff Member],Staff_Name[Target T:R Balance],""),"")</f>
        <v>0</v>
      </c>
      <c r="J96" s="40">
        <f>IFERROR(_xlfn.XLOOKUP(A96,Staff_Name[Staff Member],Staff_Name[Target Band],""),"")</f>
        <v>0</v>
      </c>
      <c r="K96" s="40" t="str">
        <f t="shared" si="15"/>
        <v/>
      </c>
      <c r="L96" s="40" t="str">
        <f t="shared" si="16"/>
        <v/>
      </c>
      <c r="M96" s="40" t="str">
        <f t="shared" si="17"/>
        <v>Yes</v>
      </c>
      <c r="O96"/>
      <c r="P96"/>
      <c r="Q96"/>
      <c r="R96"/>
      <c r="S96"/>
      <c r="T96"/>
      <c r="U96"/>
      <c r="W96"/>
      <c r="X96"/>
      <c r="Y96"/>
      <c r="AA96"/>
      <c r="AB96"/>
    </row>
    <row r="97" spans="1:28" x14ac:dyDescent="0.25">
      <c r="A97" s="40"/>
      <c r="B97" s="40">
        <f>_xlfn.XLOOKUP(A97,Staff_Name[Staff Member],Staff_Name[FTE],"")</f>
        <v>0</v>
      </c>
      <c r="C97" s="46">
        <f t="shared" si="9"/>
        <v>0</v>
      </c>
      <c r="D97" s="46">
        <f t="shared" si="10"/>
        <v>0</v>
      </c>
      <c r="E97" s="46">
        <f t="shared" si="11"/>
        <v>0</v>
      </c>
      <c r="F97" s="46">
        <f t="shared" si="12"/>
        <v>0</v>
      </c>
      <c r="G97" s="46">
        <f t="shared" si="13"/>
        <v>0</v>
      </c>
      <c r="H97" s="47">
        <f t="shared" si="14"/>
        <v>0</v>
      </c>
      <c r="I97" s="40">
        <f>IFERROR(_xlfn.XLOOKUP(A97,Staff_Name[Staff Member],Staff_Name[Target T:R Balance],""),"")</f>
        <v>0</v>
      </c>
      <c r="J97" s="40">
        <f>IFERROR(_xlfn.XLOOKUP(A97,Staff_Name[Staff Member],Staff_Name[Target Band],""),"")</f>
        <v>0</v>
      </c>
      <c r="K97" s="40" t="str">
        <f t="shared" si="15"/>
        <v/>
      </c>
      <c r="L97" s="40" t="str">
        <f t="shared" si="16"/>
        <v/>
      </c>
      <c r="M97" s="40" t="str">
        <f t="shared" si="17"/>
        <v>Yes</v>
      </c>
      <c r="O97"/>
      <c r="P97"/>
      <c r="Q97"/>
      <c r="R97"/>
      <c r="S97"/>
      <c r="T97"/>
      <c r="U97"/>
      <c r="W97"/>
      <c r="X97"/>
      <c r="Y97"/>
      <c r="AA97"/>
      <c r="AB97"/>
    </row>
    <row r="98" spans="1:28" x14ac:dyDescent="0.25">
      <c r="A98" s="40"/>
      <c r="B98" s="40">
        <f>_xlfn.XLOOKUP(A98,Staff_Name[Staff Member],Staff_Name[FTE],"")</f>
        <v>0</v>
      </c>
      <c r="C98" s="46">
        <f t="shared" si="9"/>
        <v>0</v>
      </c>
      <c r="D98" s="46">
        <f t="shared" si="10"/>
        <v>0</v>
      </c>
      <c r="E98" s="46">
        <f t="shared" si="11"/>
        <v>0</v>
      </c>
      <c r="F98" s="46">
        <f t="shared" si="12"/>
        <v>0</v>
      </c>
      <c r="G98" s="46">
        <f t="shared" si="13"/>
        <v>0</v>
      </c>
      <c r="H98" s="47">
        <f t="shared" si="14"/>
        <v>0</v>
      </c>
      <c r="I98" s="40">
        <f>IFERROR(_xlfn.XLOOKUP(A98,Staff_Name[Staff Member],Staff_Name[Target T:R Balance],""),"")</f>
        <v>0</v>
      </c>
      <c r="J98" s="40">
        <f>IFERROR(_xlfn.XLOOKUP(A98,Staff_Name[Staff Member],Staff_Name[Target Band],""),"")</f>
        <v>0</v>
      </c>
      <c r="K98" s="40" t="str">
        <f t="shared" si="15"/>
        <v/>
      </c>
      <c r="L98" s="40" t="str">
        <f t="shared" si="16"/>
        <v/>
      </c>
      <c r="M98" s="40" t="str">
        <f t="shared" si="17"/>
        <v>Yes</v>
      </c>
      <c r="O98"/>
      <c r="P98"/>
      <c r="Q98"/>
      <c r="R98"/>
      <c r="S98"/>
      <c r="T98"/>
      <c r="U98"/>
      <c r="W98"/>
      <c r="X98"/>
      <c r="Y98"/>
      <c r="AA98"/>
      <c r="AB98"/>
    </row>
    <row r="99" spans="1:28" x14ac:dyDescent="0.25">
      <c r="A99" s="40"/>
      <c r="B99" s="40">
        <f>_xlfn.XLOOKUP(A99,Staff_Name[Staff Member],Staff_Name[FTE],"")</f>
        <v>0</v>
      </c>
      <c r="C99" s="46">
        <f t="shared" si="9"/>
        <v>0</v>
      </c>
      <c r="D99" s="46">
        <f t="shared" si="10"/>
        <v>0</v>
      </c>
      <c r="E99" s="46">
        <f t="shared" si="11"/>
        <v>0</v>
      </c>
      <c r="F99" s="46">
        <f t="shared" si="12"/>
        <v>0</v>
      </c>
      <c r="G99" s="46">
        <f t="shared" si="13"/>
        <v>0</v>
      </c>
      <c r="H99" s="47">
        <f t="shared" si="14"/>
        <v>0</v>
      </c>
      <c r="I99" s="40">
        <f>IFERROR(_xlfn.XLOOKUP(A99,Staff_Name[Staff Member],Staff_Name[Target T:R Balance],""),"")</f>
        <v>0</v>
      </c>
      <c r="J99" s="40">
        <f>IFERROR(_xlfn.XLOOKUP(A99,Staff_Name[Staff Member],Staff_Name[Target Band],""),"")</f>
        <v>0</v>
      </c>
      <c r="K99" s="40" t="str">
        <f t="shared" si="15"/>
        <v/>
      </c>
      <c r="L99" s="40" t="str">
        <f t="shared" si="16"/>
        <v/>
      </c>
      <c r="M99" s="40" t="str">
        <f t="shared" si="17"/>
        <v>Yes</v>
      </c>
      <c r="O99"/>
      <c r="P99"/>
      <c r="Q99"/>
      <c r="R99"/>
      <c r="S99"/>
      <c r="T99"/>
      <c r="U99"/>
      <c r="W99"/>
      <c r="X99"/>
      <c r="Y99"/>
    </row>
    <row r="100" spans="1:28" x14ac:dyDescent="0.25">
      <c r="A100" s="40"/>
      <c r="B100" s="40">
        <f>_xlfn.XLOOKUP(A100,Staff_Name[Staff Member],Staff_Name[FTE],"")</f>
        <v>0</v>
      </c>
      <c r="C100" s="46">
        <f t="shared" si="9"/>
        <v>0</v>
      </c>
      <c r="D100" s="46">
        <f t="shared" si="10"/>
        <v>0</v>
      </c>
      <c r="E100" s="46">
        <f t="shared" si="11"/>
        <v>0</v>
      </c>
      <c r="F100" s="46">
        <f t="shared" si="12"/>
        <v>0</v>
      </c>
      <c r="G100" s="46">
        <f t="shared" si="13"/>
        <v>0</v>
      </c>
      <c r="H100" s="47">
        <f t="shared" si="14"/>
        <v>0</v>
      </c>
      <c r="I100" s="40">
        <f>IFERROR(_xlfn.XLOOKUP(A100,Staff_Name[Staff Member],Staff_Name[Target T:R Balance],""),"")</f>
        <v>0</v>
      </c>
      <c r="J100" s="40">
        <f>IFERROR(_xlfn.XLOOKUP(A100,Staff_Name[Staff Member],Staff_Name[Target Band],""),"")</f>
        <v>0</v>
      </c>
      <c r="K100" s="40" t="str">
        <f t="shared" si="15"/>
        <v/>
      </c>
      <c r="L100" s="40" t="str">
        <f t="shared" si="16"/>
        <v/>
      </c>
      <c r="M100" s="40" t="str">
        <f t="shared" si="17"/>
        <v>Yes</v>
      </c>
      <c r="O100"/>
      <c r="P100"/>
      <c r="Q100"/>
      <c r="R100"/>
      <c r="S100"/>
      <c r="T100"/>
      <c r="U100"/>
      <c r="W100"/>
      <c r="X100"/>
      <c r="Y100"/>
    </row>
    <row r="101" spans="1:28" x14ac:dyDescent="0.25">
      <c r="A101" s="40"/>
      <c r="B101" s="40">
        <f>_xlfn.XLOOKUP(A101,Staff_Name[Staff Member],Staff_Name[FTE],"")</f>
        <v>0</v>
      </c>
      <c r="C101" s="46">
        <f t="shared" si="9"/>
        <v>0</v>
      </c>
      <c r="D101" s="46">
        <f t="shared" si="10"/>
        <v>0</v>
      </c>
      <c r="E101" s="46">
        <f t="shared" si="11"/>
        <v>0</v>
      </c>
      <c r="F101" s="46">
        <f t="shared" si="12"/>
        <v>0</v>
      </c>
      <c r="G101" s="46">
        <f t="shared" si="13"/>
        <v>0</v>
      </c>
      <c r="H101" s="47">
        <f t="shared" si="14"/>
        <v>0</v>
      </c>
      <c r="I101" s="40">
        <f>IFERROR(_xlfn.XLOOKUP(A101,Staff_Name[Staff Member],Staff_Name[Target T:R Balance],""),"")</f>
        <v>0</v>
      </c>
      <c r="J101" s="40">
        <f>IFERROR(_xlfn.XLOOKUP(A101,Staff_Name[Staff Member],Staff_Name[Target Band],""),"")</f>
        <v>0</v>
      </c>
      <c r="K101" s="40" t="str">
        <f t="shared" si="15"/>
        <v/>
      </c>
      <c r="L101" s="40" t="str">
        <f t="shared" si="16"/>
        <v/>
      </c>
      <c r="M101" s="40" t="str">
        <f t="shared" si="17"/>
        <v>Yes</v>
      </c>
      <c r="O101"/>
      <c r="P101"/>
      <c r="Q101"/>
      <c r="R101"/>
      <c r="S101"/>
      <c r="T101"/>
      <c r="U101"/>
      <c r="W101"/>
      <c r="X101"/>
      <c r="Y101"/>
    </row>
    <row r="102" spans="1:28" x14ac:dyDescent="0.25">
      <c r="A102" s="40"/>
      <c r="B102" s="40">
        <f>_xlfn.XLOOKUP(A102,Staff_Name[Staff Member],Staff_Name[FTE],"")</f>
        <v>0</v>
      </c>
      <c r="C102" s="46">
        <f t="shared" si="9"/>
        <v>0</v>
      </c>
      <c r="D102" s="46">
        <f t="shared" si="10"/>
        <v>0</v>
      </c>
      <c r="E102" s="46">
        <f t="shared" si="11"/>
        <v>0</v>
      </c>
      <c r="F102" s="46">
        <f t="shared" si="12"/>
        <v>0</v>
      </c>
      <c r="G102" s="46">
        <f t="shared" si="13"/>
        <v>0</v>
      </c>
      <c r="H102" s="47">
        <f t="shared" si="14"/>
        <v>0</v>
      </c>
      <c r="I102" s="40">
        <f>IFERROR(_xlfn.XLOOKUP(A102,Staff_Name[Staff Member],Staff_Name[Target T:R Balance],""),"")</f>
        <v>0</v>
      </c>
      <c r="J102" s="40">
        <f>IFERROR(_xlfn.XLOOKUP(A102,Staff_Name[Staff Member],Staff_Name[Target Band],""),"")</f>
        <v>0</v>
      </c>
      <c r="K102" s="40" t="str">
        <f t="shared" si="15"/>
        <v/>
      </c>
      <c r="L102" s="40" t="str">
        <f t="shared" si="16"/>
        <v/>
      </c>
      <c r="M102" s="40" t="str">
        <f t="shared" si="17"/>
        <v>Yes</v>
      </c>
      <c r="O102"/>
      <c r="P102"/>
      <c r="Q102"/>
      <c r="R102"/>
      <c r="S102"/>
      <c r="T102"/>
      <c r="U102"/>
      <c r="W102"/>
      <c r="X102"/>
      <c r="Y102"/>
    </row>
    <row r="103" spans="1:28" x14ac:dyDescent="0.25">
      <c r="A103" s="40"/>
      <c r="B103" s="40">
        <f>_xlfn.XLOOKUP(A103,Staff_Name[Staff Member],Staff_Name[FTE],"")</f>
        <v>0</v>
      </c>
      <c r="C103" s="46">
        <f t="shared" si="9"/>
        <v>0</v>
      </c>
      <c r="D103" s="46">
        <f t="shared" si="10"/>
        <v>0</v>
      </c>
      <c r="E103" s="46">
        <f t="shared" si="11"/>
        <v>0</v>
      </c>
      <c r="F103" s="46">
        <f t="shared" si="12"/>
        <v>0</v>
      </c>
      <c r="G103" s="46">
        <f t="shared" si="13"/>
        <v>0</v>
      </c>
      <c r="H103" s="47">
        <f t="shared" si="14"/>
        <v>0</v>
      </c>
      <c r="I103" s="40">
        <f>IFERROR(_xlfn.XLOOKUP(A103,Staff_Name[Staff Member],Staff_Name[Target T:R Balance],""),"")</f>
        <v>0</v>
      </c>
      <c r="J103" s="40">
        <f>IFERROR(_xlfn.XLOOKUP(A103,Staff_Name[Staff Member],Staff_Name[Target Band],""),"")</f>
        <v>0</v>
      </c>
      <c r="K103" s="40" t="str">
        <f t="shared" si="15"/>
        <v/>
      </c>
      <c r="L103" s="40" t="str">
        <f t="shared" si="16"/>
        <v/>
      </c>
      <c r="M103" s="40" t="str">
        <f t="shared" si="17"/>
        <v>Yes</v>
      </c>
      <c r="O103"/>
      <c r="P103"/>
      <c r="Q103"/>
      <c r="R103"/>
      <c r="S103"/>
      <c r="T103"/>
      <c r="U103"/>
      <c r="W103"/>
      <c r="X103"/>
      <c r="Y103"/>
    </row>
    <row r="104" spans="1:28" x14ac:dyDescent="0.25">
      <c r="A104" s="40"/>
      <c r="B104" s="40">
        <f>_xlfn.XLOOKUP(A104,Staff_Name[Staff Member],Staff_Name[FTE],"")</f>
        <v>0</v>
      </c>
      <c r="C104" s="46">
        <f t="shared" si="9"/>
        <v>0</v>
      </c>
      <c r="D104" s="46">
        <f t="shared" si="10"/>
        <v>0</v>
      </c>
      <c r="E104" s="46">
        <f t="shared" si="11"/>
        <v>0</v>
      </c>
      <c r="F104" s="46">
        <f t="shared" si="12"/>
        <v>0</v>
      </c>
      <c r="G104" s="46">
        <f t="shared" si="13"/>
        <v>0</v>
      </c>
      <c r="H104" s="47">
        <f t="shared" si="14"/>
        <v>0</v>
      </c>
      <c r="I104" s="40">
        <f>IFERROR(_xlfn.XLOOKUP(A104,Staff_Name[Staff Member],Staff_Name[Target T:R Balance],""),"")</f>
        <v>0</v>
      </c>
      <c r="J104" s="40">
        <f>IFERROR(_xlfn.XLOOKUP(A104,Staff_Name[Staff Member],Staff_Name[Target Band],""),"")</f>
        <v>0</v>
      </c>
      <c r="K104" s="40" t="str">
        <f t="shared" si="15"/>
        <v/>
      </c>
      <c r="L104" s="40" t="str">
        <f t="shared" si="16"/>
        <v/>
      </c>
      <c r="M104" s="40" t="str">
        <f t="shared" si="17"/>
        <v>Yes</v>
      </c>
      <c r="O104"/>
      <c r="P104"/>
      <c r="Q104"/>
      <c r="R104"/>
      <c r="S104"/>
      <c r="T104"/>
      <c r="U104"/>
      <c r="W104"/>
      <c r="X104"/>
      <c r="Y104"/>
    </row>
    <row r="105" spans="1:28" x14ac:dyDescent="0.25">
      <c r="A105" s="40"/>
      <c r="B105" s="40">
        <f>_xlfn.XLOOKUP(A105,Staff_Name[Staff Member],Staff_Name[FTE],"")</f>
        <v>0</v>
      </c>
      <c r="C105" s="46">
        <f t="shared" si="9"/>
        <v>0</v>
      </c>
      <c r="D105" s="46">
        <f t="shared" si="10"/>
        <v>0</v>
      </c>
      <c r="E105" s="46">
        <f t="shared" si="11"/>
        <v>0</v>
      </c>
      <c r="F105" s="46">
        <f t="shared" si="12"/>
        <v>0</v>
      </c>
      <c r="G105" s="46">
        <f t="shared" si="13"/>
        <v>0</v>
      </c>
      <c r="H105" s="47">
        <f t="shared" si="14"/>
        <v>0</v>
      </c>
      <c r="I105" s="40">
        <f>IFERROR(_xlfn.XLOOKUP(A105,Staff_Name[Staff Member],Staff_Name[Target T:R Balance],""),"")</f>
        <v>0</v>
      </c>
      <c r="J105" s="40">
        <f>IFERROR(_xlfn.XLOOKUP(A105,Staff_Name[Staff Member],Staff_Name[Target Band],""),"")</f>
        <v>0</v>
      </c>
      <c r="K105" s="40" t="str">
        <f t="shared" si="15"/>
        <v/>
      </c>
      <c r="L105" s="40" t="str">
        <f t="shared" si="16"/>
        <v/>
      </c>
      <c r="M105" s="40" t="str">
        <f t="shared" si="17"/>
        <v>Yes</v>
      </c>
      <c r="O105"/>
      <c r="P105"/>
      <c r="Q105"/>
      <c r="R105"/>
      <c r="S105"/>
      <c r="T105"/>
      <c r="U105"/>
      <c r="W105"/>
      <c r="X105"/>
      <c r="Y105"/>
    </row>
    <row r="106" spans="1:28" x14ac:dyDescent="0.25">
      <c r="A106" s="40"/>
      <c r="B106" s="40">
        <f>_xlfn.XLOOKUP(A106,Staff_Name[Staff Member],Staff_Name[FTE],"")</f>
        <v>0</v>
      </c>
      <c r="C106" s="46">
        <f t="shared" si="9"/>
        <v>0</v>
      </c>
      <c r="D106" s="46">
        <f t="shared" si="10"/>
        <v>0</v>
      </c>
      <c r="E106" s="46">
        <f t="shared" si="11"/>
        <v>0</v>
      </c>
      <c r="F106" s="46">
        <f t="shared" si="12"/>
        <v>0</v>
      </c>
      <c r="G106" s="46">
        <f t="shared" si="13"/>
        <v>0</v>
      </c>
      <c r="H106" s="47">
        <f t="shared" si="14"/>
        <v>0</v>
      </c>
      <c r="I106" s="40">
        <f>IFERROR(_xlfn.XLOOKUP(A106,Staff_Name[Staff Member],Staff_Name[Target T:R Balance],""),"")</f>
        <v>0</v>
      </c>
      <c r="J106" s="40">
        <f>IFERROR(_xlfn.XLOOKUP(A106,Staff_Name[Staff Member],Staff_Name[Target Band],""),"")</f>
        <v>0</v>
      </c>
      <c r="K106" s="40" t="str">
        <f t="shared" si="15"/>
        <v/>
      </c>
      <c r="L106" s="40" t="str">
        <f t="shared" si="16"/>
        <v/>
      </c>
      <c r="M106" s="40" t="str">
        <f t="shared" si="17"/>
        <v>Yes</v>
      </c>
      <c r="O106"/>
      <c r="P106"/>
      <c r="Q106"/>
      <c r="R106"/>
      <c r="S106"/>
      <c r="T106"/>
      <c r="U106"/>
      <c r="W106"/>
      <c r="X106"/>
      <c r="Y106"/>
    </row>
    <row r="107" spans="1:28" x14ac:dyDescent="0.25">
      <c r="A107" s="40"/>
      <c r="B107" s="40">
        <f>_xlfn.XLOOKUP(A107,Staff_Name[Staff Member],Staff_Name[FTE],"")</f>
        <v>0</v>
      </c>
      <c r="C107" s="46">
        <f t="shared" si="9"/>
        <v>0</v>
      </c>
      <c r="D107" s="46">
        <f t="shared" si="10"/>
        <v>0</v>
      </c>
      <c r="E107" s="46">
        <f t="shared" si="11"/>
        <v>0</v>
      </c>
      <c r="F107" s="46">
        <f t="shared" si="12"/>
        <v>0</v>
      </c>
      <c r="G107" s="46">
        <f t="shared" si="13"/>
        <v>0</v>
      </c>
      <c r="H107" s="47">
        <f t="shared" si="14"/>
        <v>0</v>
      </c>
      <c r="I107" s="40">
        <f>IFERROR(_xlfn.XLOOKUP(A107,Staff_Name[Staff Member],Staff_Name[Target T:R Balance],""),"")</f>
        <v>0</v>
      </c>
      <c r="J107" s="40">
        <f>IFERROR(_xlfn.XLOOKUP(A107,Staff_Name[Staff Member],Staff_Name[Target Band],""),"")</f>
        <v>0</v>
      </c>
      <c r="K107" s="40" t="str">
        <f t="shared" si="15"/>
        <v/>
      </c>
      <c r="L107" s="40" t="str">
        <f t="shared" si="16"/>
        <v/>
      </c>
      <c r="M107" s="40" t="str">
        <f t="shared" si="17"/>
        <v>Yes</v>
      </c>
      <c r="O107"/>
      <c r="P107"/>
      <c r="Q107"/>
      <c r="R107"/>
      <c r="S107"/>
      <c r="T107"/>
      <c r="U107"/>
      <c r="W107"/>
      <c r="X107"/>
      <c r="Y107"/>
    </row>
    <row r="108" spans="1:28" x14ac:dyDescent="0.25">
      <c r="A108" s="40"/>
      <c r="B108" s="40">
        <f>_xlfn.XLOOKUP(A108,Staff_Name[Staff Member],Staff_Name[FTE],"")</f>
        <v>0</v>
      </c>
      <c r="C108" s="46">
        <f t="shared" si="9"/>
        <v>0</v>
      </c>
      <c r="D108" s="46">
        <f t="shared" si="10"/>
        <v>0</v>
      </c>
      <c r="E108" s="46">
        <f t="shared" si="11"/>
        <v>0</v>
      </c>
      <c r="F108" s="46">
        <f t="shared" si="12"/>
        <v>0</v>
      </c>
      <c r="G108" s="46">
        <f t="shared" si="13"/>
        <v>0</v>
      </c>
      <c r="H108" s="47">
        <f t="shared" si="14"/>
        <v>0</v>
      </c>
      <c r="I108" s="40">
        <f>IFERROR(_xlfn.XLOOKUP(A108,Staff_Name[Staff Member],Staff_Name[Target T:R Balance],""),"")</f>
        <v>0</v>
      </c>
      <c r="J108" s="40">
        <f>IFERROR(_xlfn.XLOOKUP(A108,Staff_Name[Staff Member],Staff_Name[Target Band],""),"")</f>
        <v>0</v>
      </c>
      <c r="K108" s="40" t="str">
        <f t="shared" si="15"/>
        <v/>
      </c>
      <c r="L108" s="40" t="str">
        <f t="shared" si="16"/>
        <v/>
      </c>
      <c r="M108" s="40" t="str">
        <f t="shared" si="17"/>
        <v>Yes</v>
      </c>
      <c r="O108"/>
      <c r="P108"/>
      <c r="Q108"/>
      <c r="R108"/>
      <c r="S108"/>
      <c r="T108"/>
      <c r="U108"/>
      <c r="W108"/>
      <c r="X108"/>
      <c r="Y108"/>
    </row>
    <row r="109" spans="1:28" x14ac:dyDescent="0.25">
      <c r="A109" s="40"/>
      <c r="B109" s="40">
        <f>_xlfn.XLOOKUP(A109,Staff_Name[Staff Member],Staff_Name[FTE],"")</f>
        <v>0</v>
      </c>
      <c r="C109" s="46">
        <f t="shared" si="9"/>
        <v>0</v>
      </c>
      <c r="D109" s="46">
        <f t="shared" si="10"/>
        <v>0</v>
      </c>
      <c r="E109" s="46">
        <f t="shared" si="11"/>
        <v>0</v>
      </c>
      <c r="F109" s="46">
        <f t="shared" si="12"/>
        <v>0</v>
      </c>
      <c r="G109" s="46">
        <f t="shared" si="13"/>
        <v>0</v>
      </c>
      <c r="H109" s="47">
        <f t="shared" si="14"/>
        <v>0</v>
      </c>
      <c r="I109" s="40">
        <f>IFERROR(_xlfn.XLOOKUP(A109,Staff_Name[Staff Member],Staff_Name[Target T:R Balance],""),"")</f>
        <v>0</v>
      </c>
      <c r="J109" s="40">
        <f>IFERROR(_xlfn.XLOOKUP(A109,Staff_Name[Staff Member],Staff_Name[Target Band],""),"")</f>
        <v>0</v>
      </c>
      <c r="K109" s="40" t="str">
        <f t="shared" si="15"/>
        <v/>
      </c>
      <c r="L109" s="40" t="str">
        <f t="shared" si="16"/>
        <v/>
      </c>
      <c r="M109" s="40" t="str">
        <f t="shared" si="17"/>
        <v>Yes</v>
      </c>
      <c r="O109"/>
      <c r="P109"/>
      <c r="Q109"/>
      <c r="R109"/>
      <c r="S109"/>
      <c r="T109"/>
      <c r="U109"/>
      <c r="W109"/>
      <c r="X109"/>
      <c r="Y109"/>
    </row>
    <row r="110" spans="1:28" x14ac:dyDescent="0.25">
      <c r="A110" s="40"/>
      <c r="B110" s="40">
        <f>_xlfn.XLOOKUP(A110,Staff_Name[Staff Member],Staff_Name[FTE],"")</f>
        <v>0</v>
      </c>
      <c r="C110" s="46">
        <f t="shared" si="9"/>
        <v>0</v>
      </c>
      <c r="D110" s="46">
        <f t="shared" si="10"/>
        <v>0</v>
      </c>
      <c r="E110" s="46">
        <f t="shared" si="11"/>
        <v>0</v>
      </c>
      <c r="F110" s="46">
        <f t="shared" si="12"/>
        <v>0</v>
      </c>
      <c r="G110" s="46">
        <f t="shared" si="13"/>
        <v>0</v>
      </c>
      <c r="H110" s="47">
        <f t="shared" si="14"/>
        <v>0</v>
      </c>
      <c r="I110" s="40">
        <f>IFERROR(_xlfn.XLOOKUP(A110,Staff_Name[Staff Member],Staff_Name[Target T:R Balance],""),"")</f>
        <v>0</v>
      </c>
      <c r="J110" s="40">
        <f>IFERROR(_xlfn.XLOOKUP(A110,Staff_Name[Staff Member],Staff_Name[Target Band],""),"")</f>
        <v>0</v>
      </c>
      <c r="K110" s="40" t="str">
        <f t="shared" si="15"/>
        <v/>
      </c>
      <c r="L110" s="40" t="str">
        <f t="shared" si="16"/>
        <v/>
      </c>
      <c r="M110" s="40" t="str">
        <f t="shared" si="17"/>
        <v>Yes</v>
      </c>
      <c r="O110"/>
      <c r="P110"/>
      <c r="Q110"/>
      <c r="R110"/>
      <c r="S110"/>
      <c r="T110"/>
      <c r="U110"/>
      <c r="W110"/>
      <c r="X110"/>
      <c r="Y110"/>
    </row>
    <row r="111" spans="1:28" x14ac:dyDescent="0.25">
      <c r="A111" s="40"/>
      <c r="B111" s="40">
        <f>_xlfn.XLOOKUP(A111,Staff_Name[Staff Member],Staff_Name[FTE],"")</f>
        <v>0</v>
      </c>
      <c r="C111" s="46">
        <f t="shared" si="9"/>
        <v>0</v>
      </c>
      <c r="D111" s="46">
        <f t="shared" si="10"/>
        <v>0</v>
      </c>
      <c r="E111" s="46">
        <f t="shared" si="11"/>
        <v>0</v>
      </c>
      <c r="F111" s="46">
        <f t="shared" si="12"/>
        <v>0</v>
      </c>
      <c r="G111" s="46">
        <f t="shared" si="13"/>
        <v>0</v>
      </c>
      <c r="H111" s="47">
        <f t="shared" si="14"/>
        <v>0</v>
      </c>
      <c r="I111" s="40">
        <f>IFERROR(_xlfn.XLOOKUP(A111,Staff_Name[Staff Member],Staff_Name[Target T:R Balance],""),"")</f>
        <v>0</v>
      </c>
      <c r="J111" s="40">
        <f>IFERROR(_xlfn.XLOOKUP(A111,Staff_Name[Staff Member],Staff_Name[Target Band],""),"")</f>
        <v>0</v>
      </c>
      <c r="K111" s="40" t="str">
        <f t="shared" si="15"/>
        <v/>
      </c>
      <c r="L111" s="40" t="str">
        <f t="shared" si="16"/>
        <v/>
      </c>
      <c r="M111" s="40" t="str">
        <f t="shared" si="17"/>
        <v>Yes</v>
      </c>
      <c r="O111"/>
      <c r="P111"/>
      <c r="Q111"/>
      <c r="R111"/>
      <c r="S111"/>
      <c r="T111"/>
      <c r="U111"/>
      <c r="W111"/>
      <c r="X111"/>
      <c r="Y111"/>
    </row>
    <row r="112" spans="1:28" x14ac:dyDescent="0.25">
      <c r="A112" s="40"/>
      <c r="B112" s="40">
        <f>_xlfn.XLOOKUP(A112,Staff_Name[Staff Member],Staff_Name[FTE],"")</f>
        <v>0</v>
      </c>
      <c r="C112" s="46">
        <f t="shared" si="9"/>
        <v>0</v>
      </c>
      <c r="D112" s="46">
        <f t="shared" si="10"/>
        <v>0</v>
      </c>
      <c r="E112" s="46">
        <f t="shared" si="11"/>
        <v>0</v>
      </c>
      <c r="F112" s="46">
        <f t="shared" si="12"/>
        <v>0</v>
      </c>
      <c r="G112" s="46">
        <f t="shared" si="13"/>
        <v>0</v>
      </c>
      <c r="H112" s="47">
        <f t="shared" si="14"/>
        <v>0</v>
      </c>
      <c r="I112" s="40">
        <f>IFERROR(_xlfn.XLOOKUP(A112,Staff_Name[Staff Member],Staff_Name[Target T:R Balance],""),"")</f>
        <v>0</v>
      </c>
      <c r="J112" s="40">
        <f>IFERROR(_xlfn.XLOOKUP(A112,Staff_Name[Staff Member],Staff_Name[Target Band],""),"")</f>
        <v>0</v>
      </c>
      <c r="K112" s="40" t="str">
        <f t="shared" si="15"/>
        <v/>
      </c>
      <c r="L112" s="40" t="str">
        <f t="shared" si="16"/>
        <v/>
      </c>
      <c r="M112" s="40" t="str">
        <f t="shared" si="17"/>
        <v>Yes</v>
      </c>
      <c r="O112"/>
      <c r="P112"/>
      <c r="Q112"/>
      <c r="R112"/>
      <c r="S112"/>
      <c r="T112"/>
      <c r="U112"/>
      <c r="W112"/>
      <c r="X112"/>
      <c r="Y112"/>
    </row>
    <row r="113" spans="1:25" x14ac:dyDescent="0.25">
      <c r="A113" s="40"/>
      <c r="B113" s="40">
        <f>_xlfn.XLOOKUP(A113,Staff_Name[Staff Member],Staff_Name[FTE],"")</f>
        <v>0</v>
      </c>
      <c r="C113" s="46">
        <f t="shared" si="9"/>
        <v>0</v>
      </c>
      <c r="D113" s="46">
        <f t="shared" si="10"/>
        <v>0</v>
      </c>
      <c r="E113" s="46">
        <f t="shared" si="11"/>
        <v>0</v>
      </c>
      <c r="F113" s="46">
        <f t="shared" si="12"/>
        <v>0</v>
      </c>
      <c r="G113" s="46">
        <f t="shared" si="13"/>
        <v>0</v>
      </c>
      <c r="H113" s="47">
        <f t="shared" si="14"/>
        <v>0</v>
      </c>
      <c r="I113" s="40">
        <f>IFERROR(_xlfn.XLOOKUP(A113,Staff_Name[Staff Member],Staff_Name[Target T:R Balance],""),"")</f>
        <v>0</v>
      </c>
      <c r="J113" s="40">
        <f>IFERROR(_xlfn.XLOOKUP(A113,Staff_Name[Staff Member],Staff_Name[Target Band],""),"")</f>
        <v>0</v>
      </c>
      <c r="K113" s="40" t="str">
        <f t="shared" si="15"/>
        <v/>
      </c>
      <c r="L113" s="40" t="str">
        <f t="shared" si="16"/>
        <v/>
      </c>
      <c r="M113" s="40" t="str">
        <f t="shared" si="17"/>
        <v>Yes</v>
      </c>
      <c r="O113"/>
      <c r="P113"/>
      <c r="Q113"/>
      <c r="R113"/>
      <c r="S113"/>
      <c r="T113"/>
      <c r="U113"/>
      <c r="W113"/>
      <c r="X113"/>
      <c r="Y113"/>
    </row>
    <row r="114" spans="1:25" x14ac:dyDescent="0.25">
      <c r="A114" s="40"/>
      <c r="B114" s="40">
        <f>_xlfn.XLOOKUP(A114,Staff_Name[Staff Member],Staff_Name[FTE],"")</f>
        <v>0</v>
      </c>
      <c r="C114" s="46">
        <f t="shared" si="9"/>
        <v>0</v>
      </c>
      <c r="D114" s="46">
        <f t="shared" si="10"/>
        <v>0</v>
      </c>
      <c r="E114" s="46">
        <f t="shared" si="11"/>
        <v>0</v>
      </c>
      <c r="F114" s="46">
        <f t="shared" si="12"/>
        <v>0</v>
      </c>
      <c r="G114" s="46">
        <f t="shared" si="13"/>
        <v>0</v>
      </c>
      <c r="H114" s="47">
        <f t="shared" si="14"/>
        <v>0</v>
      </c>
      <c r="I114" s="40">
        <f>IFERROR(_xlfn.XLOOKUP(A114,Staff_Name[Staff Member],Staff_Name[Target T:R Balance],""),"")</f>
        <v>0</v>
      </c>
      <c r="J114" s="40">
        <f>IFERROR(_xlfn.XLOOKUP(A114,Staff_Name[Staff Member],Staff_Name[Target Band],""),"")</f>
        <v>0</v>
      </c>
      <c r="K114" s="40" t="str">
        <f t="shared" si="15"/>
        <v/>
      </c>
      <c r="L114" s="40" t="str">
        <f t="shared" si="16"/>
        <v/>
      </c>
      <c r="M114" s="40" t="str">
        <f t="shared" si="17"/>
        <v>Yes</v>
      </c>
      <c r="O114"/>
      <c r="P114"/>
      <c r="Q114"/>
      <c r="R114"/>
      <c r="S114"/>
      <c r="T114"/>
      <c r="U114"/>
      <c r="W114"/>
      <c r="X114"/>
      <c r="Y114"/>
    </row>
    <row r="115" spans="1:25" x14ac:dyDescent="0.25">
      <c r="A115" s="40"/>
      <c r="B115" s="40">
        <f>_xlfn.XLOOKUP(A115,Staff_Name[Staff Member],Staff_Name[FTE],"")</f>
        <v>0</v>
      </c>
      <c r="C115" s="46">
        <f t="shared" si="9"/>
        <v>0</v>
      </c>
      <c r="D115" s="46">
        <f t="shared" si="10"/>
        <v>0</v>
      </c>
      <c r="E115" s="46">
        <f t="shared" si="11"/>
        <v>0</v>
      </c>
      <c r="F115" s="46">
        <f t="shared" si="12"/>
        <v>0</v>
      </c>
      <c r="G115" s="46">
        <f t="shared" si="13"/>
        <v>0</v>
      </c>
      <c r="H115" s="47">
        <f t="shared" si="14"/>
        <v>0</v>
      </c>
      <c r="I115" s="40">
        <f>IFERROR(_xlfn.XLOOKUP(A115,Staff_Name[Staff Member],Staff_Name[Target T:R Balance],""),"")</f>
        <v>0</v>
      </c>
      <c r="J115" s="40">
        <f>IFERROR(_xlfn.XLOOKUP(A115,Staff_Name[Staff Member],Staff_Name[Target Band],""),"")</f>
        <v>0</v>
      </c>
      <c r="K115" s="40" t="str">
        <f t="shared" si="15"/>
        <v/>
      </c>
      <c r="L115" s="40" t="str">
        <f t="shared" si="16"/>
        <v/>
      </c>
      <c r="M115" s="40" t="str">
        <f t="shared" si="17"/>
        <v>Yes</v>
      </c>
      <c r="O115"/>
      <c r="P115"/>
      <c r="Q115"/>
      <c r="R115"/>
      <c r="S115"/>
      <c r="T115"/>
      <c r="U115"/>
      <c r="W115"/>
      <c r="X115"/>
      <c r="Y115"/>
    </row>
    <row r="116" spans="1:25" x14ac:dyDescent="0.25">
      <c r="A116" s="40"/>
      <c r="B116" s="40">
        <f>_xlfn.XLOOKUP(A116,Staff_Name[Staff Member],Staff_Name[FTE],"")</f>
        <v>0</v>
      </c>
      <c r="C116" s="46">
        <f t="shared" si="9"/>
        <v>0</v>
      </c>
      <c r="D116" s="46">
        <f t="shared" si="10"/>
        <v>0</v>
      </c>
      <c r="E116" s="46">
        <f t="shared" si="11"/>
        <v>0</v>
      </c>
      <c r="F116" s="46">
        <f t="shared" si="12"/>
        <v>0</v>
      </c>
      <c r="G116" s="46">
        <f t="shared" si="13"/>
        <v>0</v>
      </c>
      <c r="H116" s="47">
        <f t="shared" si="14"/>
        <v>0</v>
      </c>
      <c r="I116" s="40">
        <f>IFERROR(_xlfn.XLOOKUP(A116,Staff_Name[Staff Member],Staff_Name[Target T:R Balance],""),"")</f>
        <v>0</v>
      </c>
      <c r="J116" s="40">
        <f>IFERROR(_xlfn.XLOOKUP(A116,Staff_Name[Staff Member],Staff_Name[Target Band],""),"")</f>
        <v>0</v>
      </c>
      <c r="K116" s="40" t="str">
        <f t="shared" si="15"/>
        <v/>
      </c>
      <c r="L116" s="40" t="str">
        <f t="shared" si="16"/>
        <v/>
      </c>
      <c r="M116" s="40" t="str">
        <f t="shared" si="17"/>
        <v>Yes</v>
      </c>
      <c r="O116"/>
      <c r="P116"/>
      <c r="Q116"/>
      <c r="R116"/>
      <c r="S116"/>
      <c r="T116"/>
      <c r="U116"/>
      <c r="W116"/>
      <c r="X116"/>
      <c r="Y116"/>
    </row>
    <row r="117" spans="1:25" x14ac:dyDescent="0.25">
      <c r="A117" s="40"/>
      <c r="B117" s="40">
        <f>_xlfn.XLOOKUP(A117,Staff_Name[Staff Member],Staff_Name[FTE],"")</f>
        <v>0</v>
      </c>
      <c r="C117" s="46">
        <f t="shared" si="9"/>
        <v>0</v>
      </c>
      <c r="D117" s="46">
        <f t="shared" si="10"/>
        <v>0</v>
      </c>
      <c r="E117" s="46">
        <f t="shared" si="11"/>
        <v>0</v>
      </c>
      <c r="F117" s="46">
        <f t="shared" si="12"/>
        <v>0</v>
      </c>
      <c r="G117" s="46">
        <f t="shared" si="13"/>
        <v>0</v>
      </c>
      <c r="H117" s="47">
        <f t="shared" si="14"/>
        <v>0</v>
      </c>
      <c r="I117" s="40">
        <f>IFERROR(_xlfn.XLOOKUP(A117,Staff_Name[Staff Member],Staff_Name[Target T:R Balance],""),"")</f>
        <v>0</v>
      </c>
      <c r="J117" s="40">
        <f>IFERROR(_xlfn.XLOOKUP(A117,Staff_Name[Staff Member],Staff_Name[Target Band],""),"")</f>
        <v>0</v>
      </c>
      <c r="K117" s="40" t="str">
        <f t="shared" si="15"/>
        <v/>
      </c>
      <c r="L117" s="40" t="str">
        <f t="shared" si="16"/>
        <v/>
      </c>
      <c r="M117" s="40" t="str">
        <f t="shared" si="17"/>
        <v>Yes</v>
      </c>
      <c r="O117"/>
      <c r="P117"/>
      <c r="Q117"/>
      <c r="R117"/>
      <c r="S117"/>
      <c r="T117"/>
      <c r="U117"/>
      <c r="W117"/>
      <c r="X117"/>
      <c r="Y117"/>
    </row>
    <row r="118" spans="1:25" x14ac:dyDescent="0.25">
      <c r="A118" s="40"/>
      <c r="B118" s="40">
        <f>_xlfn.XLOOKUP(A118,Staff_Name[Staff Member],Staff_Name[FTE],"")</f>
        <v>0</v>
      </c>
      <c r="C118" s="46">
        <f t="shared" si="9"/>
        <v>0</v>
      </c>
      <c r="D118" s="46">
        <f t="shared" si="10"/>
        <v>0</v>
      </c>
      <c r="E118" s="46">
        <f t="shared" si="11"/>
        <v>0</v>
      </c>
      <c r="F118" s="46">
        <f t="shared" si="12"/>
        <v>0</v>
      </c>
      <c r="G118" s="46">
        <f t="shared" si="13"/>
        <v>0</v>
      </c>
      <c r="H118" s="47">
        <f t="shared" si="14"/>
        <v>0</v>
      </c>
      <c r="I118" s="40">
        <f>IFERROR(_xlfn.XLOOKUP(A118,Staff_Name[Staff Member],Staff_Name[Target T:R Balance],""),"")</f>
        <v>0</v>
      </c>
      <c r="J118" s="40">
        <f>IFERROR(_xlfn.XLOOKUP(A118,Staff_Name[Staff Member],Staff_Name[Target Band],""),"")</f>
        <v>0</v>
      </c>
      <c r="K118" s="40" t="str">
        <f t="shared" si="15"/>
        <v/>
      </c>
      <c r="L118" s="40" t="str">
        <f t="shared" si="16"/>
        <v/>
      </c>
      <c r="M118" s="40" t="str">
        <f t="shared" si="17"/>
        <v>Yes</v>
      </c>
      <c r="O118"/>
      <c r="P118"/>
      <c r="Q118"/>
      <c r="R118"/>
      <c r="S118"/>
      <c r="T118"/>
      <c r="U118"/>
      <c r="W118"/>
      <c r="X118"/>
      <c r="Y118"/>
    </row>
    <row r="119" spans="1:25" x14ac:dyDescent="0.25">
      <c r="A119" s="40"/>
      <c r="B119" s="40">
        <f>_xlfn.XLOOKUP(A119,Staff_Name[Staff Member],Staff_Name[FTE],"")</f>
        <v>0</v>
      </c>
      <c r="C119" s="46">
        <f t="shared" si="9"/>
        <v>0</v>
      </c>
      <c r="D119" s="46">
        <f t="shared" si="10"/>
        <v>0</v>
      </c>
      <c r="E119" s="46">
        <f t="shared" si="11"/>
        <v>0</v>
      </c>
      <c r="F119" s="46">
        <f t="shared" si="12"/>
        <v>0</v>
      </c>
      <c r="G119" s="46">
        <f t="shared" si="13"/>
        <v>0</v>
      </c>
      <c r="H119" s="47">
        <f t="shared" si="14"/>
        <v>0</v>
      </c>
      <c r="I119" s="40">
        <f>IFERROR(_xlfn.XLOOKUP(A119,Staff_Name[Staff Member],Staff_Name[Target T:R Balance],""),"")</f>
        <v>0</v>
      </c>
      <c r="J119" s="40">
        <f>IFERROR(_xlfn.XLOOKUP(A119,Staff_Name[Staff Member],Staff_Name[Target Band],""),"")</f>
        <v>0</v>
      </c>
      <c r="K119" s="40" t="str">
        <f t="shared" si="15"/>
        <v/>
      </c>
      <c r="L119" s="40" t="str">
        <f t="shared" si="16"/>
        <v/>
      </c>
      <c r="M119" s="40" t="str">
        <f t="shared" si="17"/>
        <v>Yes</v>
      </c>
      <c r="O119"/>
      <c r="P119"/>
      <c r="Q119"/>
      <c r="R119"/>
      <c r="S119"/>
      <c r="T119"/>
      <c r="U119"/>
      <c r="W119"/>
      <c r="X119"/>
      <c r="Y119"/>
    </row>
    <row r="120" spans="1:25" x14ac:dyDescent="0.25">
      <c r="A120" s="40"/>
      <c r="B120" s="40">
        <f>_xlfn.XLOOKUP(A120,Staff_Name[Staff Member],Staff_Name[FTE],"")</f>
        <v>0</v>
      </c>
      <c r="C120" s="46">
        <f t="shared" si="9"/>
        <v>0</v>
      </c>
      <c r="D120" s="46">
        <f t="shared" si="10"/>
        <v>0</v>
      </c>
      <c r="E120" s="46">
        <f t="shared" si="11"/>
        <v>0</v>
      </c>
      <c r="F120" s="46">
        <f t="shared" si="12"/>
        <v>0</v>
      </c>
      <c r="G120" s="46">
        <f t="shared" si="13"/>
        <v>0</v>
      </c>
      <c r="H120" s="47">
        <f t="shared" si="14"/>
        <v>0</v>
      </c>
      <c r="I120" s="40">
        <f>IFERROR(_xlfn.XLOOKUP(A120,Staff_Name[Staff Member],Staff_Name[Target T:R Balance],""),"")</f>
        <v>0</v>
      </c>
      <c r="J120" s="40">
        <f>IFERROR(_xlfn.XLOOKUP(A120,Staff_Name[Staff Member],Staff_Name[Target Band],""),"")</f>
        <v>0</v>
      </c>
      <c r="K120" s="40" t="str">
        <f t="shared" si="15"/>
        <v/>
      </c>
      <c r="L120" s="40" t="str">
        <f t="shared" si="16"/>
        <v/>
      </c>
      <c r="M120" s="40" t="str">
        <f t="shared" si="17"/>
        <v>Yes</v>
      </c>
      <c r="O120"/>
      <c r="P120"/>
      <c r="Q120"/>
      <c r="R120"/>
      <c r="S120"/>
      <c r="T120"/>
      <c r="U120"/>
    </row>
    <row r="121" spans="1:25" x14ac:dyDescent="0.25">
      <c r="A121" s="40"/>
      <c r="B121" s="40">
        <f>_xlfn.XLOOKUP(A121,Staff_Name[Staff Member],Staff_Name[FTE],"")</f>
        <v>0</v>
      </c>
      <c r="C121" s="46">
        <f t="shared" si="9"/>
        <v>0</v>
      </c>
      <c r="D121" s="46">
        <f t="shared" si="10"/>
        <v>0</v>
      </c>
      <c r="E121" s="46">
        <f t="shared" si="11"/>
        <v>0</v>
      </c>
      <c r="F121" s="46">
        <f t="shared" si="12"/>
        <v>0</v>
      </c>
      <c r="G121" s="46">
        <f t="shared" si="13"/>
        <v>0</v>
      </c>
      <c r="H121" s="47">
        <f t="shared" si="14"/>
        <v>0</v>
      </c>
      <c r="I121" s="40">
        <f>IFERROR(_xlfn.XLOOKUP(A121,Staff_Name[Staff Member],Staff_Name[Target T:R Balance],""),"")</f>
        <v>0</v>
      </c>
      <c r="J121" s="40">
        <f>IFERROR(_xlfn.XLOOKUP(A121,Staff_Name[Staff Member],Staff_Name[Target Band],""),"")</f>
        <v>0</v>
      </c>
      <c r="K121" s="40" t="str">
        <f t="shared" si="15"/>
        <v/>
      </c>
      <c r="L121" s="40" t="str">
        <f t="shared" si="16"/>
        <v/>
      </c>
      <c r="M121" s="40" t="str">
        <f t="shared" si="17"/>
        <v>Yes</v>
      </c>
      <c r="O121"/>
      <c r="P121"/>
      <c r="Q121"/>
      <c r="R121"/>
      <c r="S121"/>
      <c r="T121"/>
      <c r="U121"/>
    </row>
    <row r="122" spans="1:25" x14ac:dyDescent="0.25">
      <c r="A122" s="40"/>
      <c r="B122" s="40">
        <f>_xlfn.XLOOKUP(A122,Staff_Name[Staff Member],Staff_Name[FTE],"")</f>
        <v>0</v>
      </c>
      <c r="C122" s="46">
        <f t="shared" si="9"/>
        <v>0</v>
      </c>
      <c r="D122" s="46">
        <f t="shared" si="10"/>
        <v>0</v>
      </c>
      <c r="E122" s="46">
        <f t="shared" si="11"/>
        <v>0</v>
      </c>
      <c r="F122" s="46">
        <f t="shared" si="12"/>
        <v>0</v>
      </c>
      <c r="G122" s="46">
        <f t="shared" si="13"/>
        <v>0</v>
      </c>
      <c r="H122" s="47">
        <f t="shared" si="14"/>
        <v>0</v>
      </c>
      <c r="I122" s="40">
        <f>IFERROR(_xlfn.XLOOKUP(A122,Staff_Name[Staff Member],Staff_Name[Target T:R Balance],""),"")</f>
        <v>0</v>
      </c>
      <c r="J122" s="40">
        <f>IFERROR(_xlfn.XLOOKUP(A122,Staff_Name[Staff Member],Staff_Name[Target Band],""),"")</f>
        <v>0</v>
      </c>
      <c r="K122" s="40" t="str">
        <f t="shared" si="15"/>
        <v/>
      </c>
      <c r="L122" s="40" t="str">
        <f t="shared" si="16"/>
        <v/>
      </c>
      <c r="M122" s="40" t="str">
        <f t="shared" si="17"/>
        <v>Yes</v>
      </c>
      <c r="O122"/>
      <c r="P122"/>
      <c r="Q122"/>
      <c r="R122"/>
      <c r="S122"/>
      <c r="T122"/>
      <c r="U122"/>
    </row>
    <row r="123" spans="1:25" x14ac:dyDescent="0.25">
      <c r="A123" s="40"/>
      <c r="B123" s="40">
        <f>_xlfn.XLOOKUP(A123,Staff_Name[Staff Member],Staff_Name[FTE],"")</f>
        <v>0</v>
      </c>
      <c r="C123" s="46">
        <f t="shared" si="9"/>
        <v>0</v>
      </c>
      <c r="D123" s="46">
        <f t="shared" si="10"/>
        <v>0</v>
      </c>
      <c r="E123" s="46">
        <f t="shared" si="11"/>
        <v>0</v>
      </c>
      <c r="F123" s="46">
        <f t="shared" si="12"/>
        <v>0</v>
      </c>
      <c r="G123" s="46">
        <f t="shared" si="13"/>
        <v>0</v>
      </c>
      <c r="H123" s="47">
        <f t="shared" si="14"/>
        <v>0</v>
      </c>
      <c r="I123" s="40">
        <f>IFERROR(_xlfn.XLOOKUP(A123,Staff_Name[Staff Member],Staff_Name[Target T:R Balance],""),"")</f>
        <v>0</v>
      </c>
      <c r="J123" s="40">
        <f>IFERROR(_xlfn.XLOOKUP(A123,Staff_Name[Staff Member],Staff_Name[Target Band],""),"")</f>
        <v>0</v>
      </c>
      <c r="K123" s="40" t="str">
        <f t="shared" si="15"/>
        <v/>
      </c>
      <c r="L123" s="40" t="str">
        <f t="shared" si="16"/>
        <v/>
      </c>
      <c r="M123" s="40" t="str">
        <f t="shared" si="17"/>
        <v>Yes</v>
      </c>
      <c r="O123"/>
      <c r="P123"/>
      <c r="Q123"/>
      <c r="R123"/>
      <c r="S123"/>
      <c r="T123"/>
      <c r="U123"/>
    </row>
    <row r="124" spans="1:25" x14ac:dyDescent="0.25">
      <c r="A124" s="40"/>
      <c r="B124" s="40">
        <f>_xlfn.XLOOKUP(A124,Staff_Name[Staff Member],Staff_Name[FTE],"")</f>
        <v>0</v>
      </c>
      <c r="C124" s="46">
        <f t="shared" si="9"/>
        <v>0</v>
      </c>
      <c r="D124" s="46">
        <f t="shared" si="10"/>
        <v>0</v>
      </c>
      <c r="E124" s="46">
        <f t="shared" si="11"/>
        <v>0</v>
      </c>
      <c r="F124" s="46">
        <f t="shared" si="12"/>
        <v>0</v>
      </c>
      <c r="G124" s="46">
        <f t="shared" si="13"/>
        <v>0</v>
      </c>
      <c r="H124" s="47">
        <f t="shared" si="14"/>
        <v>0</v>
      </c>
      <c r="I124" s="40">
        <f>IFERROR(_xlfn.XLOOKUP(A124,Staff_Name[Staff Member],Staff_Name[Target T:R Balance],""),"")</f>
        <v>0</v>
      </c>
      <c r="J124" s="40">
        <f>IFERROR(_xlfn.XLOOKUP(A124,Staff_Name[Staff Member],Staff_Name[Target Band],""),"")</f>
        <v>0</v>
      </c>
      <c r="K124" s="40" t="str">
        <f t="shared" si="15"/>
        <v/>
      </c>
      <c r="L124" s="40" t="str">
        <f t="shared" si="16"/>
        <v/>
      </c>
      <c r="M124" s="40" t="str">
        <f t="shared" si="17"/>
        <v>Yes</v>
      </c>
      <c r="O124"/>
      <c r="P124"/>
      <c r="Q124"/>
      <c r="R124"/>
      <c r="S124"/>
      <c r="T124"/>
      <c r="U124"/>
    </row>
    <row r="125" spans="1:25" x14ac:dyDescent="0.25">
      <c r="A125" s="40"/>
      <c r="B125" s="40">
        <f>_xlfn.XLOOKUP(A125,Staff_Name[Staff Member],Staff_Name[FTE],"")</f>
        <v>0</v>
      </c>
      <c r="C125" s="46">
        <f t="shared" si="9"/>
        <v>0</v>
      </c>
      <c r="D125" s="46">
        <f t="shared" si="10"/>
        <v>0</v>
      </c>
      <c r="E125" s="46">
        <f t="shared" si="11"/>
        <v>0</v>
      </c>
      <c r="F125" s="46">
        <f t="shared" si="12"/>
        <v>0</v>
      </c>
      <c r="G125" s="46">
        <f t="shared" si="13"/>
        <v>0</v>
      </c>
      <c r="H125" s="47">
        <f t="shared" si="14"/>
        <v>0</v>
      </c>
      <c r="I125" s="40">
        <f>IFERROR(_xlfn.XLOOKUP(A125,Staff_Name[Staff Member],Staff_Name[Target T:R Balance],""),"")</f>
        <v>0</v>
      </c>
      <c r="J125" s="40">
        <f>IFERROR(_xlfn.XLOOKUP(A125,Staff_Name[Staff Member],Staff_Name[Target Band],""),"")</f>
        <v>0</v>
      </c>
      <c r="K125" s="40" t="str">
        <f t="shared" si="15"/>
        <v/>
      </c>
      <c r="L125" s="40" t="str">
        <f t="shared" si="16"/>
        <v/>
      </c>
      <c r="M125" s="40" t="str">
        <f t="shared" si="17"/>
        <v>Yes</v>
      </c>
      <c r="O125"/>
      <c r="P125"/>
      <c r="Q125"/>
      <c r="R125"/>
      <c r="S125"/>
      <c r="T125"/>
      <c r="U125"/>
    </row>
    <row r="126" spans="1:25" x14ac:dyDescent="0.25">
      <c r="A126" s="40"/>
      <c r="B126" s="40">
        <f>_xlfn.XLOOKUP(A126,Staff_Name[Staff Member],Staff_Name[FTE],"")</f>
        <v>0</v>
      </c>
      <c r="C126" s="46">
        <f t="shared" si="9"/>
        <v>0</v>
      </c>
      <c r="D126" s="46">
        <f t="shared" si="10"/>
        <v>0</v>
      </c>
      <c r="E126" s="46">
        <f t="shared" si="11"/>
        <v>0</v>
      </c>
      <c r="F126" s="46">
        <f t="shared" si="12"/>
        <v>0</v>
      </c>
      <c r="G126" s="46">
        <f t="shared" si="13"/>
        <v>0</v>
      </c>
      <c r="H126" s="47">
        <f t="shared" si="14"/>
        <v>0</v>
      </c>
      <c r="I126" s="40">
        <f>IFERROR(_xlfn.XLOOKUP(A126,Staff_Name[Staff Member],Staff_Name[Target T:R Balance],""),"")</f>
        <v>0</v>
      </c>
      <c r="J126" s="40">
        <f>IFERROR(_xlfn.XLOOKUP(A126,Staff_Name[Staff Member],Staff_Name[Target Band],""),"")</f>
        <v>0</v>
      </c>
      <c r="K126" s="40" t="str">
        <f t="shared" si="15"/>
        <v/>
      </c>
      <c r="L126" s="40" t="str">
        <f t="shared" si="16"/>
        <v/>
      </c>
      <c r="M126" s="40" t="str">
        <f t="shared" si="17"/>
        <v>Yes</v>
      </c>
      <c r="O126"/>
      <c r="P126"/>
      <c r="Q126"/>
      <c r="R126"/>
      <c r="S126"/>
      <c r="T126"/>
      <c r="U126"/>
    </row>
    <row r="127" spans="1:25" x14ac:dyDescent="0.25">
      <c r="A127" s="40"/>
      <c r="B127" s="40">
        <f>_xlfn.XLOOKUP(A127,Staff_Name[Staff Member],Staff_Name[FTE],"")</f>
        <v>0</v>
      </c>
      <c r="C127" s="46">
        <f t="shared" si="9"/>
        <v>0</v>
      </c>
      <c r="D127" s="46">
        <f t="shared" si="10"/>
        <v>0</v>
      </c>
      <c r="E127" s="46">
        <f t="shared" si="11"/>
        <v>0</v>
      </c>
      <c r="F127" s="46">
        <f t="shared" si="12"/>
        <v>0</v>
      </c>
      <c r="G127" s="46">
        <f t="shared" si="13"/>
        <v>0</v>
      </c>
      <c r="H127" s="47">
        <f t="shared" si="14"/>
        <v>0</v>
      </c>
      <c r="I127" s="40">
        <f>IFERROR(_xlfn.XLOOKUP(A127,Staff_Name[Staff Member],Staff_Name[Target T:R Balance],""),"")</f>
        <v>0</v>
      </c>
      <c r="J127" s="40">
        <f>IFERROR(_xlfn.XLOOKUP(A127,Staff_Name[Staff Member],Staff_Name[Target Band],""),"")</f>
        <v>0</v>
      </c>
      <c r="K127" s="40" t="str">
        <f t="shared" si="15"/>
        <v/>
      </c>
      <c r="L127" s="40" t="str">
        <f t="shared" si="16"/>
        <v/>
      </c>
      <c r="M127" s="40" t="str">
        <f t="shared" si="17"/>
        <v>Yes</v>
      </c>
      <c r="O127"/>
      <c r="P127"/>
      <c r="Q127"/>
      <c r="R127"/>
      <c r="S127"/>
      <c r="T127"/>
      <c r="U127"/>
    </row>
    <row r="128" spans="1:25" x14ac:dyDescent="0.25">
      <c r="A128" s="40"/>
      <c r="B128" s="40">
        <f>_xlfn.XLOOKUP(A128,Staff_Name[Staff Member],Staff_Name[FTE],"")</f>
        <v>0</v>
      </c>
      <c r="C128" s="46">
        <f t="shared" si="9"/>
        <v>0</v>
      </c>
      <c r="D128" s="46">
        <f t="shared" si="10"/>
        <v>0</v>
      </c>
      <c r="E128" s="46">
        <f t="shared" si="11"/>
        <v>0</v>
      </c>
      <c r="F128" s="46">
        <f t="shared" si="12"/>
        <v>0</v>
      </c>
      <c r="G128" s="46">
        <f t="shared" si="13"/>
        <v>0</v>
      </c>
      <c r="H128" s="47">
        <f t="shared" si="14"/>
        <v>0</v>
      </c>
      <c r="I128" s="40">
        <f>IFERROR(_xlfn.XLOOKUP(A128,Staff_Name[Staff Member],Staff_Name[Target T:R Balance],""),"")</f>
        <v>0</v>
      </c>
      <c r="J128" s="40">
        <f>IFERROR(_xlfn.XLOOKUP(A128,Staff_Name[Staff Member],Staff_Name[Target Band],""),"")</f>
        <v>0</v>
      </c>
      <c r="K128" s="40" t="str">
        <f t="shared" si="15"/>
        <v/>
      </c>
      <c r="L128" s="40" t="str">
        <f t="shared" si="16"/>
        <v/>
      </c>
      <c r="M128" s="40" t="str">
        <f t="shared" si="17"/>
        <v>Yes</v>
      </c>
      <c r="O128"/>
      <c r="P128"/>
      <c r="Q128"/>
      <c r="R128"/>
      <c r="S128"/>
      <c r="T128"/>
      <c r="U128"/>
    </row>
    <row r="129" spans="1:21" x14ac:dyDescent="0.25">
      <c r="A129" s="40"/>
      <c r="B129" s="40">
        <f>_xlfn.XLOOKUP(A129,Staff_Name[Staff Member],Staff_Name[FTE],"")</f>
        <v>0</v>
      </c>
      <c r="C129" s="46">
        <f t="shared" si="9"/>
        <v>0</v>
      </c>
      <c r="D129" s="46">
        <f t="shared" si="10"/>
        <v>0</v>
      </c>
      <c r="E129" s="46">
        <f t="shared" si="11"/>
        <v>0</v>
      </c>
      <c r="F129" s="46">
        <f t="shared" si="12"/>
        <v>0</v>
      </c>
      <c r="G129" s="46">
        <f t="shared" si="13"/>
        <v>0</v>
      </c>
      <c r="H129" s="47">
        <f t="shared" si="14"/>
        <v>0</v>
      </c>
      <c r="I129" s="40">
        <f>IFERROR(_xlfn.XLOOKUP(A129,Staff_Name[Staff Member],Staff_Name[Target T:R Balance],""),"")</f>
        <v>0</v>
      </c>
      <c r="J129" s="40">
        <f>IFERROR(_xlfn.XLOOKUP(A129,Staff_Name[Staff Member],Staff_Name[Target Band],""),"")</f>
        <v>0</v>
      </c>
      <c r="K129" s="40" t="str">
        <f t="shared" si="15"/>
        <v/>
      </c>
      <c r="L129" s="40" t="str">
        <f t="shared" si="16"/>
        <v/>
      </c>
      <c r="M129" s="40" t="str">
        <f t="shared" si="17"/>
        <v>Yes</v>
      </c>
      <c r="O129"/>
      <c r="P129"/>
      <c r="Q129"/>
      <c r="R129"/>
      <c r="S129"/>
      <c r="T129"/>
      <c r="U129"/>
    </row>
    <row r="130" spans="1:21" x14ac:dyDescent="0.25">
      <c r="A130" s="40"/>
      <c r="B130" s="40">
        <f>_xlfn.XLOOKUP(A130,Staff_Name[Staff Member],Staff_Name[FTE],"")</f>
        <v>0</v>
      </c>
      <c r="C130" s="46">
        <f t="shared" si="9"/>
        <v>0</v>
      </c>
      <c r="D130" s="46">
        <f t="shared" si="10"/>
        <v>0</v>
      </c>
      <c r="E130" s="46">
        <f t="shared" si="11"/>
        <v>0</v>
      </c>
      <c r="F130" s="46">
        <f t="shared" si="12"/>
        <v>0</v>
      </c>
      <c r="G130" s="46">
        <f t="shared" si="13"/>
        <v>0</v>
      </c>
      <c r="H130" s="47">
        <f t="shared" si="14"/>
        <v>0</v>
      </c>
      <c r="I130" s="40">
        <f>IFERROR(_xlfn.XLOOKUP(A130,Staff_Name[Staff Member],Staff_Name[Target T:R Balance],""),"")</f>
        <v>0</v>
      </c>
      <c r="J130" s="40">
        <f>IFERROR(_xlfn.XLOOKUP(A130,Staff_Name[Staff Member],Staff_Name[Target Band],""),"")</f>
        <v>0</v>
      </c>
      <c r="K130" s="40" t="str">
        <f t="shared" si="15"/>
        <v/>
      </c>
      <c r="L130" s="40" t="str">
        <f t="shared" si="16"/>
        <v/>
      </c>
      <c r="M130" s="40" t="str">
        <f t="shared" si="17"/>
        <v>Yes</v>
      </c>
      <c r="O130"/>
      <c r="P130"/>
      <c r="Q130"/>
      <c r="R130"/>
      <c r="S130"/>
      <c r="T130"/>
      <c r="U130"/>
    </row>
    <row r="131" spans="1:21" x14ac:dyDescent="0.25">
      <c r="A131" s="40"/>
      <c r="B131" s="40">
        <f>_xlfn.XLOOKUP(A131,Staff_Name[Staff Member],Staff_Name[FTE],"")</f>
        <v>0</v>
      </c>
      <c r="C131" s="46">
        <f t="shared" si="9"/>
        <v>0</v>
      </c>
      <c r="D131" s="46">
        <f t="shared" si="10"/>
        <v>0</v>
      </c>
      <c r="E131" s="46">
        <f t="shared" si="11"/>
        <v>0</v>
      </c>
      <c r="F131" s="46">
        <f t="shared" si="12"/>
        <v>0</v>
      </c>
      <c r="G131" s="46">
        <f t="shared" si="13"/>
        <v>0</v>
      </c>
      <c r="H131" s="47">
        <f t="shared" si="14"/>
        <v>0</v>
      </c>
      <c r="I131" s="40">
        <f>IFERROR(_xlfn.XLOOKUP(A131,Staff_Name[Staff Member],Staff_Name[Target T:R Balance],""),"")</f>
        <v>0</v>
      </c>
      <c r="J131" s="40">
        <f>IFERROR(_xlfn.XLOOKUP(A131,Staff_Name[Staff Member],Staff_Name[Target Band],""),"")</f>
        <v>0</v>
      </c>
      <c r="K131" s="40" t="str">
        <f t="shared" si="15"/>
        <v/>
      </c>
      <c r="L131" s="40" t="str">
        <f t="shared" si="16"/>
        <v/>
      </c>
      <c r="M131" s="40" t="str">
        <f t="shared" si="17"/>
        <v>Yes</v>
      </c>
      <c r="O131"/>
      <c r="P131"/>
      <c r="Q131"/>
      <c r="R131"/>
      <c r="S131"/>
      <c r="T131"/>
      <c r="U131"/>
    </row>
    <row r="132" spans="1:21" x14ac:dyDescent="0.25">
      <c r="A132" s="40"/>
      <c r="B132" s="40">
        <f>_xlfn.XLOOKUP(A132,Staff_Name[Staff Member],Staff_Name[FTE],"")</f>
        <v>0</v>
      </c>
      <c r="C132" s="46">
        <f t="shared" ref="C132:C195" si="18">_xlfn.XLOOKUP(A132,O:O,Q:Q,0)</f>
        <v>0</v>
      </c>
      <c r="D132" s="46">
        <f t="shared" ref="D132:D195" si="19">_xlfn.XLOOKUP(A132,W:W,Y:Y,0)</f>
        <v>0</v>
      </c>
      <c r="E132" s="46">
        <f t="shared" ref="E132:E195" si="20">_xlfn.XLOOKUP(A132,W:W,X:X,0)</f>
        <v>0</v>
      </c>
      <c r="F132" s="46">
        <f t="shared" ref="F132:F195" si="21">_xlfn.XLOOKUP(A132,AA:AA,AB:AB,0)</f>
        <v>0</v>
      </c>
      <c r="G132" s="46">
        <f t="shared" ref="G132:G195" si="22">IFERROR((B132*100)-(SUM(C132:F132)),0)</f>
        <v>0</v>
      </c>
      <c r="H132" s="47">
        <f t="shared" ref="H132:H195" si="23">IFERROR(SUM(C132:G132),"")</f>
        <v>0</v>
      </c>
      <c r="I132" s="40">
        <f>IFERROR(_xlfn.XLOOKUP(A132,Staff_Name[Staff Member],Staff_Name[Target T:R Balance],""),"")</f>
        <v>0</v>
      </c>
      <c r="J132" s="40">
        <f>IFERROR(_xlfn.XLOOKUP(A132,Staff_Name[Staff Member],Staff_Name[Target Band],""),"")</f>
        <v>0</v>
      </c>
      <c r="K132" s="40" t="str">
        <f t="shared" ref="K132:K195" si="24">IFERROR(ROUND(C132/(C132+G132),2),"")</f>
        <v/>
      </c>
      <c r="L132" s="40" t="str">
        <f t="shared" ref="L132:L195" si="25">IF(K132&lt;=0.2,"Research Focused",IF(K132&lt;=0.79,"Balanced Teaching &amp; Research",IF(K132&lt;=1,"Teaching Focused","")))</f>
        <v/>
      </c>
      <c r="M132" s="40" t="str">
        <f t="shared" ref="M132:M195" si="26">IF(J132=L132,"No","Yes")</f>
        <v>Yes</v>
      </c>
      <c r="O132"/>
      <c r="P132"/>
      <c r="Q132"/>
      <c r="R132"/>
      <c r="S132"/>
      <c r="T132"/>
      <c r="U132"/>
    </row>
    <row r="133" spans="1:21" x14ac:dyDescent="0.25">
      <c r="A133" s="40"/>
      <c r="B133" s="40">
        <f>_xlfn.XLOOKUP(A133,Staff_Name[Staff Member],Staff_Name[FTE],"")</f>
        <v>0</v>
      </c>
      <c r="C133" s="46">
        <f t="shared" si="18"/>
        <v>0</v>
      </c>
      <c r="D133" s="46">
        <f t="shared" si="19"/>
        <v>0</v>
      </c>
      <c r="E133" s="46">
        <f t="shared" si="20"/>
        <v>0</v>
      </c>
      <c r="F133" s="46">
        <f t="shared" si="21"/>
        <v>0</v>
      </c>
      <c r="G133" s="46">
        <f t="shared" si="22"/>
        <v>0</v>
      </c>
      <c r="H133" s="47">
        <f t="shared" si="23"/>
        <v>0</v>
      </c>
      <c r="I133" s="40">
        <f>IFERROR(_xlfn.XLOOKUP(A133,Staff_Name[Staff Member],Staff_Name[Target T:R Balance],""),"")</f>
        <v>0</v>
      </c>
      <c r="J133" s="40">
        <f>IFERROR(_xlfn.XLOOKUP(A133,Staff_Name[Staff Member],Staff_Name[Target Band],""),"")</f>
        <v>0</v>
      </c>
      <c r="K133" s="40" t="str">
        <f t="shared" si="24"/>
        <v/>
      </c>
      <c r="L133" s="40" t="str">
        <f t="shared" si="25"/>
        <v/>
      </c>
      <c r="M133" s="40" t="str">
        <f t="shared" si="26"/>
        <v>Yes</v>
      </c>
      <c r="O133"/>
      <c r="P133"/>
      <c r="Q133"/>
      <c r="R133"/>
      <c r="S133"/>
      <c r="T133"/>
      <c r="U133"/>
    </row>
    <row r="134" spans="1:21" x14ac:dyDescent="0.25">
      <c r="A134" s="40"/>
      <c r="B134" s="40">
        <f>_xlfn.XLOOKUP(A134,Staff_Name[Staff Member],Staff_Name[FTE],"")</f>
        <v>0</v>
      </c>
      <c r="C134" s="46">
        <f t="shared" si="18"/>
        <v>0</v>
      </c>
      <c r="D134" s="46">
        <f t="shared" si="19"/>
        <v>0</v>
      </c>
      <c r="E134" s="46">
        <f t="shared" si="20"/>
        <v>0</v>
      </c>
      <c r="F134" s="46">
        <f t="shared" si="21"/>
        <v>0</v>
      </c>
      <c r="G134" s="46">
        <f t="shared" si="22"/>
        <v>0</v>
      </c>
      <c r="H134" s="47">
        <f t="shared" si="23"/>
        <v>0</v>
      </c>
      <c r="I134" s="40">
        <f>IFERROR(_xlfn.XLOOKUP(A134,Staff_Name[Staff Member],Staff_Name[Target T:R Balance],""),"")</f>
        <v>0</v>
      </c>
      <c r="J134" s="40">
        <f>IFERROR(_xlfn.XLOOKUP(A134,Staff_Name[Staff Member],Staff_Name[Target Band],""),"")</f>
        <v>0</v>
      </c>
      <c r="K134" s="40" t="str">
        <f t="shared" si="24"/>
        <v/>
      </c>
      <c r="L134" s="40" t="str">
        <f t="shared" si="25"/>
        <v/>
      </c>
      <c r="M134" s="40" t="str">
        <f t="shared" si="26"/>
        <v>Yes</v>
      </c>
      <c r="O134"/>
      <c r="P134"/>
      <c r="Q134"/>
      <c r="R134"/>
      <c r="S134"/>
      <c r="T134"/>
      <c r="U134"/>
    </row>
    <row r="135" spans="1:21" x14ac:dyDescent="0.25">
      <c r="A135" s="40"/>
      <c r="B135" s="40">
        <f>_xlfn.XLOOKUP(A135,Staff_Name[Staff Member],Staff_Name[FTE],"")</f>
        <v>0</v>
      </c>
      <c r="C135" s="46">
        <f t="shared" si="18"/>
        <v>0</v>
      </c>
      <c r="D135" s="46">
        <f t="shared" si="19"/>
        <v>0</v>
      </c>
      <c r="E135" s="46">
        <f t="shared" si="20"/>
        <v>0</v>
      </c>
      <c r="F135" s="46">
        <f t="shared" si="21"/>
        <v>0</v>
      </c>
      <c r="G135" s="46">
        <f t="shared" si="22"/>
        <v>0</v>
      </c>
      <c r="H135" s="47">
        <f t="shared" si="23"/>
        <v>0</v>
      </c>
      <c r="I135" s="40">
        <f>IFERROR(_xlfn.XLOOKUP(A135,Staff_Name[Staff Member],Staff_Name[Target T:R Balance],""),"")</f>
        <v>0</v>
      </c>
      <c r="J135" s="40">
        <f>IFERROR(_xlfn.XLOOKUP(A135,Staff_Name[Staff Member],Staff_Name[Target Band],""),"")</f>
        <v>0</v>
      </c>
      <c r="K135" s="40" t="str">
        <f t="shared" si="24"/>
        <v/>
      </c>
      <c r="L135" s="40" t="str">
        <f t="shared" si="25"/>
        <v/>
      </c>
      <c r="M135" s="40" t="str">
        <f t="shared" si="26"/>
        <v>Yes</v>
      </c>
      <c r="O135"/>
      <c r="P135"/>
      <c r="Q135"/>
      <c r="R135"/>
      <c r="S135"/>
      <c r="T135"/>
      <c r="U135"/>
    </row>
    <row r="136" spans="1:21" x14ac:dyDescent="0.25">
      <c r="A136" s="40"/>
      <c r="B136" s="40">
        <f>_xlfn.XLOOKUP(A136,Staff_Name[Staff Member],Staff_Name[FTE],"")</f>
        <v>0</v>
      </c>
      <c r="C136" s="46">
        <f t="shared" si="18"/>
        <v>0</v>
      </c>
      <c r="D136" s="46">
        <f t="shared" si="19"/>
        <v>0</v>
      </c>
      <c r="E136" s="46">
        <f t="shared" si="20"/>
        <v>0</v>
      </c>
      <c r="F136" s="46">
        <f t="shared" si="21"/>
        <v>0</v>
      </c>
      <c r="G136" s="46">
        <f t="shared" si="22"/>
        <v>0</v>
      </c>
      <c r="H136" s="47">
        <f t="shared" si="23"/>
        <v>0</v>
      </c>
      <c r="I136" s="40">
        <f>IFERROR(_xlfn.XLOOKUP(A136,Staff_Name[Staff Member],Staff_Name[Target T:R Balance],""),"")</f>
        <v>0</v>
      </c>
      <c r="J136" s="40">
        <f>IFERROR(_xlfn.XLOOKUP(A136,Staff_Name[Staff Member],Staff_Name[Target Band],""),"")</f>
        <v>0</v>
      </c>
      <c r="K136" s="40" t="str">
        <f t="shared" si="24"/>
        <v/>
      </c>
      <c r="L136" s="40" t="str">
        <f t="shared" si="25"/>
        <v/>
      </c>
      <c r="M136" s="40" t="str">
        <f t="shared" si="26"/>
        <v>Yes</v>
      </c>
      <c r="O136"/>
      <c r="P136"/>
      <c r="Q136"/>
      <c r="R136"/>
      <c r="S136"/>
      <c r="T136"/>
      <c r="U136"/>
    </row>
    <row r="137" spans="1:21" x14ac:dyDescent="0.25">
      <c r="A137" s="40"/>
      <c r="B137" s="40">
        <f>_xlfn.XLOOKUP(A137,Staff_Name[Staff Member],Staff_Name[FTE],"")</f>
        <v>0</v>
      </c>
      <c r="C137" s="46">
        <f t="shared" si="18"/>
        <v>0</v>
      </c>
      <c r="D137" s="46">
        <f t="shared" si="19"/>
        <v>0</v>
      </c>
      <c r="E137" s="46">
        <f t="shared" si="20"/>
        <v>0</v>
      </c>
      <c r="F137" s="46">
        <f t="shared" si="21"/>
        <v>0</v>
      </c>
      <c r="G137" s="46">
        <f t="shared" si="22"/>
        <v>0</v>
      </c>
      <c r="H137" s="47">
        <f t="shared" si="23"/>
        <v>0</v>
      </c>
      <c r="I137" s="40">
        <f>IFERROR(_xlfn.XLOOKUP(A137,Staff_Name[Staff Member],Staff_Name[Target T:R Balance],""),"")</f>
        <v>0</v>
      </c>
      <c r="J137" s="40">
        <f>IFERROR(_xlfn.XLOOKUP(A137,Staff_Name[Staff Member],Staff_Name[Target Band],""),"")</f>
        <v>0</v>
      </c>
      <c r="K137" s="40" t="str">
        <f t="shared" si="24"/>
        <v/>
      </c>
      <c r="L137" s="40" t="str">
        <f t="shared" si="25"/>
        <v/>
      </c>
      <c r="M137" s="40" t="str">
        <f t="shared" si="26"/>
        <v>Yes</v>
      </c>
      <c r="O137"/>
      <c r="P137"/>
      <c r="Q137"/>
      <c r="R137"/>
      <c r="S137"/>
      <c r="T137"/>
      <c r="U137"/>
    </row>
    <row r="138" spans="1:21" x14ac:dyDescent="0.25">
      <c r="A138" s="40"/>
      <c r="B138" s="40">
        <f>_xlfn.XLOOKUP(A138,Staff_Name[Staff Member],Staff_Name[FTE],"")</f>
        <v>0</v>
      </c>
      <c r="C138" s="46">
        <f t="shared" si="18"/>
        <v>0</v>
      </c>
      <c r="D138" s="46">
        <f t="shared" si="19"/>
        <v>0</v>
      </c>
      <c r="E138" s="46">
        <f t="shared" si="20"/>
        <v>0</v>
      </c>
      <c r="F138" s="46">
        <f t="shared" si="21"/>
        <v>0</v>
      </c>
      <c r="G138" s="46">
        <f t="shared" si="22"/>
        <v>0</v>
      </c>
      <c r="H138" s="47">
        <f t="shared" si="23"/>
        <v>0</v>
      </c>
      <c r="I138" s="40">
        <f>IFERROR(_xlfn.XLOOKUP(A138,Staff_Name[Staff Member],Staff_Name[Target T:R Balance],""),"")</f>
        <v>0</v>
      </c>
      <c r="J138" s="40">
        <f>IFERROR(_xlfn.XLOOKUP(A138,Staff_Name[Staff Member],Staff_Name[Target Band],""),"")</f>
        <v>0</v>
      </c>
      <c r="K138" s="40" t="str">
        <f t="shared" si="24"/>
        <v/>
      </c>
      <c r="L138" s="40" t="str">
        <f t="shared" si="25"/>
        <v/>
      </c>
      <c r="M138" s="40" t="str">
        <f t="shared" si="26"/>
        <v>Yes</v>
      </c>
      <c r="O138"/>
      <c r="P138"/>
      <c r="Q138"/>
      <c r="R138"/>
      <c r="S138"/>
      <c r="T138"/>
      <c r="U138"/>
    </row>
    <row r="139" spans="1:21" x14ac:dyDescent="0.25">
      <c r="A139" s="40"/>
      <c r="B139" s="40">
        <f>_xlfn.XLOOKUP(A139,Staff_Name[Staff Member],Staff_Name[FTE],"")</f>
        <v>0</v>
      </c>
      <c r="C139" s="46">
        <f t="shared" si="18"/>
        <v>0</v>
      </c>
      <c r="D139" s="46">
        <f t="shared" si="19"/>
        <v>0</v>
      </c>
      <c r="E139" s="46">
        <f t="shared" si="20"/>
        <v>0</v>
      </c>
      <c r="F139" s="46">
        <f t="shared" si="21"/>
        <v>0</v>
      </c>
      <c r="G139" s="46">
        <f t="shared" si="22"/>
        <v>0</v>
      </c>
      <c r="H139" s="47">
        <f t="shared" si="23"/>
        <v>0</v>
      </c>
      <c r="I139" s="40">
        <f>IFERROR(_xlfn.XLOOKUP(A139,Staff_Name[Staff Member],Staff_Name[Target T:R Balance],""),"")</f>
        <v>0</v>
      </c>
      <c r="J139" s="40">
        <f>IFERROR(_xlfn.XLOOKUP(A139,Staff_Name[Staff Member],Staff_Name[Target Band],""),"")</f>
        <v>0</v>
      </c>
      <c r="K139" s="40" t="str">
        <f t="shared" si="24"/>
        <v/>
      </c>
      <c r="L139" s="40" t="str">
        <f t="shared" si="25"/>
        <v/>
      </c>
      <c r="M139" s="40" t="str">
        <f t="shared" si="26"/>
        <v>Yes</v>
      </c>
      <c r="O139"/>
      <c r="P139"/>
      <c r="Q139"/>
      <c r="R139"/>
      <c r="S139"/>
      <c r="T139"/>
      <c r="U139"/>
    </row>
    <row r="140" spans="1:21" x14ac:dyDescent="0.25">
      <c r="A140" s="40"/>
      <c r="B140" s="40">
        <f>_xlfn.XLOOKUP(A140,Staff_Name[Staff Member],Staff_Name[FTE],"")</f>
        <v>0</v>
      </c>
      <c r="C140" s="46">
        <f t="shared" si="18"/>
        <v>0</v>
      </c>
      <c r="D140" s="46">
        <f t="shared" si="19"/>
        <v>0</v>
      </c>
      <c r="E140" s="46">
        <f t="shared" si="20"/>
        <v>0</v>
      </c>
      <c r="F140" s="46">
        <f t="shared" si="21"/>
        <v>0</v>
      </c>
      <c r="G140" s="46">
        <f t="shared" si="22"/>
        <v>0</v>
      </c>
      <c r="H140" s="47">
        <f t="shared" si="23"/>
        <v>0</v>
      </c>
      <c r="I140" s="40">
        <f>IFERROR(_xlfn.XLOOKUP(A140,Staff_Name[Staff Member],Staff_Name[Target T:R Balance],""),"")</f>
        <v>0</v>
      </c>
      <c r="J140" s="40">
        <f>IFERROR(_xlfn.XLOOKUP(A140,Staff_Name[Staff Member],Staff_Name[Target Band],""),"")</f>
        <v>0</v>
      </c>
      <c r="K140" s="40" t="str">
        <f t="shared" si="24"/>
        <v/>
      </c>
      <c r="L140" s="40" t="str">
        <f t="shared" si="25"/>
        <v/>
      </c>
      <c r="M140" s="40" t="str">
        <f t="shared" si="26"/>
        <v>Yes</v>
      </c>
      <c r="O140"/>
      <c r="P140"/>
      <c r="Q140"/>
      <c r="R140"/>
      <c r="S140"/>
      <c r="T140"/>
      <c r="U140"/>
    </row>
    <row r="141" spans="1:21" x14ac:dyDescent="0.25">
      <c r="A141" s="40"/>
      <c r="B141" s="40">
        <f>_xlfn.XLOOKUP(A141,Staff_Name[Staff Member],Staff_Name[FTE],"")</f>
        <v>0</v>
      </c>
      <c r="C141" s="46">
        <f t="shared" si="18"/>
        <v>0</v>
      </c>
      <c r="D141" s="46">
        <f t="shared" si="19"/>
        <v>0</v>
      </c>
      <c r="E141" s="46">
        <f t="shared" si="20"/>
        <v>0</v>
      </c>
      <c r="F141" s="46">
        <f t="shared" si="21"/>
        <v>0</v>
      </c>
      <c r="G141" s="46">
        <f t="shared" si="22"/>
        <v>0</v>
      </c>
      <c r="H141" s="47">
        <f t="shared" si="23"/>
        <v>0</v>
      </c>
      <c r="I141" s="40">
        <f>IFERROR(_xlfn.XLOOKUP(A141,Staff_Name[Staff Member],Staff_Name[Target T:R Balance],""),"")</f>
        <v>0</v>
      </c>
      <c r="J141" s="40">
        <f>IFERROR(_xlfn.XLOOKUP(A141,Staff_Name[Staff Member],Staff_Name[Target Band],""),"")</f>
        <v>0</v>
      </c>
      <c r="K141" s="40" t="str">
        <f t="shared" si="24"/>
        <v/>
      </c>
      <c r="L141" s="40" t="str">
        <f t="shared" si="25"/>
        <v/>
      </c>
      <c r="M141" s="40" t="str">
        <f t="shared" si="26"/>
        <v>Yes</v>
      </c>
      <c r="O141"/>
      <c r="P141"/>
      <c r="Q141"/>
      <c r="R141"/>
      <c r="S141"/>
      <c r="T141"/>
      <c r="U141"/>
    </row>
    <row r="142" spans="1:21" x14ac:dyDescent="0.25">
      <c r="A142" s="40"/>
      <c r="B142" s="40">
        <f>_xlfn.XLOOKUP(A142,Staff_Name[Staff Member],Staff_Name[FTE],"")</f>
        <v>0</v>
      </c>
      <c r="C142" s="46">
        <f t="shared" si="18"/>
        <v>0</v>
      </c>
      <c r="D142" s="46">
        <f t="shared" si="19"/>
        <v>0</v>
      </c>
      <c r="E142" s="46">
        <f t="shared" si="20"/>
        <v>0</v>
      </c>
      <c r="F142" s="46">
        <f t="shared" si="21"/>
        <v>0</v>
      </c>
      <c r="G142" s="46">
        <f t="shared" si="22"/>
        <v>0</v>
      </c>
      <c r="H142" s="47">
        <f t="shared" si="23"/>
        <v>0</v>
      </c>
      <c r="I142" s="40">
        <f>IFERROR(_xlfn.XLOOKUP(A142,Staff_Name[Staff Member],Staff_Name[Target T:R Balance],""),"")</f>
        <v>0</v>
      </c>
      <c r="J142" s="40">
        <f>IFERROR(_xlfn.XLOOKUP(A142,Staff_Name[Staff Member],Staff_Name[Target Band],""),"")</f>
        <v>0</v>
      </c>
      <c r="K142" s="40" t="str">
        <f t="shared" si="24"/>
        <v/>
      </c>
      <c r="L142" s="40" t="str">
        <f t="shared" si="25"/>
        <v/>
      </c>
      <c r="M142" s="40" t="str">
        <f t="shared" si="26"/>
        <v>Yes</v>
      </c>
      <c r="O142"/>
      <c r="P142"/>
      <c r="Q142"/>
      <c r="R142"/>
      <c r="S142"/>
      <c r="T142"/>
      <c r="U142"/>
    </row>
    <row r="143" spans="1:21" x14ac:dyDescent="0.25">
      <c r="A143" s="40"/>
      <c r="B143" s="40">
        <f>_xlfn.XLOOKUP(A143,Staff_Name[Staff Member],Staff_Name[FTE],"")</f>
        <v>0</v>
      </c>
      <c r="C143" s="46">
        <f t="shared" si="18"/>
        <v>0</v>
      </c>
      <c r="D143" s="46">
        <f t="shared" si="19"/>
        <v>0</v>
      </c>
      <c r="E143" s="46">
        <f t="shared" si="20"/>
        <v>0</v>
      </c>
      <c r="F143" s="46">
        <f t="shared" si="21"/>
        <v>0</v>
      </c>
      <c r="G143" s="46">
        <f t="shared" si="22"/>
        <v>0</v>
      </c>
      <c r="H143" s="47">
        <f t="shared" si="23"/>
        <v>0</v>
      </c>
      <c r="I143" s="40">
        <f>IFERROR(_xlfn.XLOOKUP(A143,Staff_Name[Staff Member],Staff_Name[Target T:R Balance],""),"")</f>
        <v>0</v>
      </c>
      <c r="J143" s="40">
        <f>IFERROR(_xlfn.XLOOKUP(A143,Staff_Name[Staff Member],Staff_Name[Target Band],""),"")</f>
        <v>0</v>
      </c>
      <c r="K143" s="40" t="str">
        <f t="shared" si="24"/>
        <v/>
      </c>
      <c r="L143" s="40" t="str">
        <f t="shared" si="25"/>
        <v/>
      </c>
      <c r="M143" s="40" t="str">
        <f t="shared" si="26"/>
        <v>Yes</v>
      </c>
      <c r="O143"/>
      <c r="P143"/>
      <c r="Q143"/>
      <c r="R143"/>
      <c r="S143"/>
      <c r="T143"/>
      <c r="U143"/>
    </row>
    <row r="144" spans="1:21" x14ac:dyDescent="0.25">
      <c r="A144" s="40"/>
      <c r="B144" s="40">
        <f>_xlfn.XLOOKUP(A144,Staff_Name[Staff Member],Staff_Name[FTE],"")</f>
        <v>0</v>
      </c>
      <c r="C144" s="46">
        <f t="shared" si="18"/>
        <v>0</v>
      </c>
      <c r="D144" s="46">
        <f t="shared" si="19"/>
        <v>0</v>
      </c>
      <c r="E144" s="46">
        <f t="shared" si="20"/>
        <v>0</v>
      </c>
      <c r="F144" s="46">
        <f t="shared" si="21"/>
        <v>0</v>
      </c>
      <c r="G144" s="46">
        <f t="shared" si="22"/>
        <v>0</v>
      </c>
      <c r="H144" s="47">
        <f t="shared" si="23"/>
        <v>0</v>
      </c>
      <c r="I144" s="40">
        <f>IFERROR(_xlfn.XLOOKUP(A144,Staff_Name[Staff Member],Staff_Name[Target T:R Balance],""),"")</f>
        <v>0</v>
      </c>
      <c r="J144" s="40">
        <f>IFERROR(_xlfn.XLOOKUP(A144,Staff_Name[Staff Member],Staff_Name[Target Band],""),"")</f>
        <v>0</v>
      </c>
      <c r="K144" s="40" t="str">
        <f t="shared" si="24"/>
        <v/>
      </c>
      <c r="L144" s="40" t="str">
        <f t="shared" si="25"/>
        <v/>
      </c>
      <c r="M144" s="40" t="str">
        <f t="shared" si="26"/>
        <v>Yes</v>
      </c>
      <c r="O144"/>
      <c r="P144"/>
      <c r="Q144"/>
      <c r="R144"/>
      <c r="S144"/>
      <c r="T144"/>
      <c r="U144"/>
    </row>
    <row r="145" spans="1:21" x14ac:dyDescent="0.25">
      <c r="A145" s="40"/>
      <c r="B145" s="40">
        <f>_xlfn.XLOOKUP(A145,Staff_Name[Staff Member],Staff_Name[FTE],"")</f>
        <v>0</v>
      </c>
      <c r="C145" s="46">
        <f t="shared" si="18"/>
        <v>0</v>
      </c>
      <c r="D145" s="46">
        <f t="shared" si="19"/>
        <v>0</v>
      </c>
      <c r="E145" s="46">
        <f t="shared" si="20"/>
        <v>0</v>
      </c>
      <c r="F145" s="46">
        <f t="shared" si="21"/>
        <v>0</v>
      </c>
      <c r="G145" s="46">
        <f t="shared" si="22"/>
        <v>0</v>
      </c>
      <c r="H145" s="47">
        <f t="shared" si="23"/>
        <v>0</v>
      </c>
      <c r="I145" s="40">
        <f>IFERROR(_xlfn.XLOOKUP(A145,Staff_Name[Staff Member],Staff_Name[Target T:R Balance],""),"")</f>
        <v>0</v>
      </c>
      <c r="J145" s="40">
        <f>IFERROR(_xlfn.XLOOKUP(A145,Staff_Name[Staff Member],Staff_Name[Target Band],""),"")</f>
        <v>0</v>
      </c>
      <c r="K145" s="40" t="str">
        <f t="shared" si="24"/>
        <v/>
      </c>
      <c r="L145" s="40" t="str">
        <f t="shared" si="25"/>
        <v/>
      </c>
      <c r="M145" s="40" t="str">
        <f t="shared" si="26"/>
        <v>Yes</v>
      </c>
      <c r="O145"/>
      <c r="P145"/>
      <c r="Q145"/>
      <c r="R145"/>
      <c r="S145"/>
      <c r="T145"/>
      <c r="U145"/>
    </row>
    <row r="146" spans="1:21" x14ac:dyDescent="0.25">
      <c r="A146" s="40"/>
      <c r="B146" s="40">
        <f>_xlfn.XLOOKUP(A146,Staff_Name[Staff Member],Staff_Name[FTE],"")</f>
        <v>0</v>
      </c>
      <c r="C146" s="46">
        <f t="shared" si="18"/>
        <v>0</v>
      </c>
      <c r="D146" s="46">
        <f t="shared" si="19"/>
        <v>0</v>
      </c>
      <c r="E146" s="46">
        <f t="shared" si="20"/>
        <v>0</v>
      </c>
      <c r="F146" s="46">
        <f t="shared" si="21"/>
        <v>0</v>
      </c>
      <c r="G146" s="46">
        <f t="shared" si="22"/>
        <v>0</v>
      </c>
      <c r="H146" s="47">
        <f t="shared" si="23"/>
        <v>0</v>
      </c>
      <c r="I146" s="40">
        <f>IFERROR(_xlfn.XLOOKUP(A146,Staff_Name[Staff Member],Staff_Name[Target T:R Balance],""),"")</f>
        <v>0</v>
      </c>
      <c r="J146" s="40">
        <f>IFERROR(_xlfn.XLOOKUP(A146,Staff_Name[Staff Member],Staff_Name[Target Band],""),"")</f>
        <v>0</v>
      </c>
      <c r="K146" s="40" t="str">
        <f t="shared" si="24"/>
        <v/>
      </c>
      <c r="L146" s="40" t="str">
        <f t="shared" si="25"/>
        <v/>
      </c>
      <c r="M146" s="40" t="str">
        <f t="shared" si="26"/>
        <v>Yes</v>
      </c>
      <c r="O146"/>
      <c r="P146"/>
      <c r="Q146"/>
      <c r="R146"/>
      <c r="S146"/>
      <c r="T146"/>
      <c r="U146"/>
    </row>
    <row r="147" spans="1:21" x14ac:dyDescent="0.25">
      <c r="A147" s="40"/>
      <c r="B147" s="40">
        <f>_xlfn.XLOOKUP(A147,Staff_Name[Staff Member],Staff_Name[FTE],"")</f>
        <v>0</v>
      </c>
      <c r="C147" s="46">
        <f t="shared" si="18"/>
        <v>0</v>
      </c>
      <c r="D147" s="46">
        <f t="shared" si="19"/>
        <v>0</v>
      </c>
      <c r="E147" s="46">
        <f t="shared" si="20"/>
        <v>0</v>
      </c>
      <c r="F147" s="46">
        <f t="shared" si="21"/>
        <v>0</v>
      </c>
      <c r="G147" s="46">
        <f t="shared" si="22"/>
        <v>0</v>
      </c>
      <c r="H147" s="47">
        <f t="shared" si="23"/>
        <v>0</v>
      </c>
      <c r="I147" s="40">
        <f>IFERROR(_xlfn.XLOOKUP(A147,Staff_Name[Staff Member],Staff_Name[Target T:R Balance],""),"")</f>
        <v>0</v>
      </c>
      <c r="J147" s="40">
        <f>IFERROR(_xlfn.XLOOKUP(A147,Staff_Name[Staff Member],Staff_Name[Target Band],""),"")</f>
        <v>0</v>
      </c>
      <c r="K147" s="40" t="str">
        <f t="shared" si="24"/>
        <v/>
      </c>
      <c r="L147" s="40" t="str">
        <f t="shared" si="25"/>
        <v/>
      </c>
      <c r="M147" s="40" t="str">
        <f t="shared" si="26"/>
        <v>Yes</v>
      </c>
      <c r="O147"/>
      <c r="P147"/>
      <c r="Q147"/>
      <c r="R147"/>
      <c r="S147"/>
      <c r="T147"/>
      <c r="U147"/>
    </row>
    <row r="148" spans="1:21" x14ac:dyDescent="0.25">
      <c r="A148" s="40"/>
      <c r="B148" s="40">
        <f>_xlfn.XLOOKUP(A148,Staff_Name[Staff Member],Staff_Name[FTE],"")</f>
        <v>0</v>
      </c>
      <c r="C148" s="46">
        <f t="shared" si="18"/>
        <v>0</v>
      </c>
      <c r="D148" s="46">
        <f t="shared" si="19"/>
        <v>0</v>
      </c>
      <c r="E148" s="46">
        <f t="shared" si="20"/>
        <v>0</v>
      </c>
      <c r="F148" s="46">
        <f t="shared" si="21"/>
        <v>0</v>
      </c>
      <c r="G148" s="46">
        <f t="shared" si="22"/>
        <v>0</v>
      </c>
      <c r="H148" s="47">
        <f t="shared" si="23"/>
        <v>0</v>
      </c>
      <c r="I148" s="40">
        <f>IFERROR(_xlfn.XLOOKUP(A148,Staff_Name[Staff Member],Staff_Name[Target T:R Balance],""),"")</f>
        <v>0</v>
      </c>
      <c r="J148" s="40">
        <f>IFERROR(_xlfn.XLOOKUP(A148,Staff_Name[Staff Member],Staff_Name[Target Band],""),"")</f>
        <v>0</v>
      </c>
      <c r="K148" s="40" t="str">
        <f t="shared" si="24"/>
        <v/>
      </c>
      <c r="L148" s="40" t="str">
        <f t="shared" si="25"/>
        <v/>
      </c>
      <c r="M148" s="40" t="str">
        <f t="shared" si="26"/>
        <v>Yes</v>
      </c>
      <c r="O148"/>
      <c r="P148"/>
      <c r="Q148"/>
      <c r="R148"/>
      <c r="S148"/>
      <c r="T148"/>
      <c r="U148"/>
    </row>
    <row r="149" spans="1:21" x14ac:dyDescent="0.25">
      <c r="A149" s="40"/>
      <c r="B149" s="40">
        <f>_xlfn.XLOOKUP(A149,Staff_Name[Staff Member],Staff_Name[FTE],"")</f>
        <v>0</v>
      </c>
      <c r="C149" s="46">
        <f t="shared" si="18"/>
        <v>0</v>
      </c>
      <c r="D149" s="46">
        <f t="shared" si="19"/>
        <v>0</v>
      </c>
      <c r="E149" s="46">
        <f t="shared" si="20"/>
        <v>0</v>
      </c>
      <c r="F149" s="46">
        <f t="shared" si="21"/>
        <v>0</v>
      </c>
      <c r="G149" s="46">
        <f t="shared" si="22"/>
        <v>0</v>
      </c>
      <c r="H149" s="47">
        <f t="shared" si="23"/>
        <v>0</v>
      </c>
      <c r="I149" s="40">
        <f>IFERROR(_xlfn.XLOOKUP(A149,Staff_Name[Staff Member],Staff_Name[Target T:R Balance],""),"")</f>
        <v>0</v>
      </c>
      <c r="J149" s="40">
        <f>IFERROR(_xlfn.XLOOKUP(A149,Staff_Name[Staff Member],Staff_Name[Target Band],""),"")</f>
        <v>0</v>
      </c>
      <c r="K149" s="40" t="str">
        <f t="shared" si="24"/>
        <v/>
      </c>
      <c r="L149" s="40" t="str">
        <f t="shared" si="25"/>
        <v/>
      </c>
      <c r="M149" s="40" t="str">
        <f t="shared" si="26"/>
        <v>Yes</v>
      </c>
      <c r="O149"/>
      <c r="P149"/>
      <c r="Q149"/>
      <c r="R149"/>
      <c r="S149"/>
      <c r="T149"/>
      <c r="U149"/>
    </row>
    <row r="150" spans="1:21" x14ac:dyDescent="0.25">
      <c r="A150" s="40"/>
      <c r="B150" s="40">
        <f>_xlfn.XLOOKUP(A150,Staff_Name[Staff Member],Staff_Name[FTE],"")</f>
        <v>0</v>
      </c>
      <c r="C150" s="46">
        <f t="shared" si="18"/>
        <v>0</v>
      </c>
      <c r="D150" s="46">
        <f t="shared" si="19"/>
        <v>0</v>
      </c>
      <c r="E150" s="46">
        <f t="shared" si="20"/>
        <v>0</v>
      </c>
      <c r="F150" s="46">
        <f t="shared" si="21"/>
        <v>0</v>
      </c>
      <c r="G150" s="46">
        <f t="shared" si="22"/>
        <v>0</v>
      </c>
      <c r="H150" s="47">
        <f t="shared" si="23"/>
        <v>0</v>
      </c>
      <c r="I150" s="40">
        <f>IFERROR(_xlfn.XLOOKUP(A150,Staff_Name[Staff Member],Staff_Name[Target T:R Balance],""),"")</f>
        <v>0</v>
      </c>
      <c r="J150" s="40">
        <f>IFERROR(_xlfn.XLOOKUP(A150,Staff_Name[Staff Member],Staff_Name[Target Band],""),"")</f>
        <v>0</v>
      </c>
      <c r="K150" s="40" t="str">
        <f t="shared" si="24"/>
        <v/>
      </c>
      <c r="L150" s="40" t="str">
        <f t="shared" si="25"/>
        <v/>
      </c>
      <c r="M150" s="40" t="str">
        <f t="shared" si="26"/>
        <v>Yes</v>
      </c>
      <c r="O150"/>
      <c r="P150"/>
      <c r="Q150"/>
      <c r="R150"/>
      <c r="S150"/>
      <c r="T150"/>
      <c r="U150"/>
    </row>
    <row r="151" spans="1:21" x14ac:dyDescent="0.25">
      <c r="A151" s="40"/>
      <c r="B151" s="40">
        <f>_xlfn.XLOOKUP(A151,Staff_Name[Staff Member],Staff_Name[FTE],"")</f>
        <v>0</v>
      </c>
      <c r="C151" s="46">
        <f t="shared" si="18"/>
        <v>0</v>
      </c>
      <c r="D151" s="46">
        <f t="shared" si="19"/>
        <v>0</v>
      </c>
      <c r="E151" s="46">
        <f t="shared" si="20"/>
        <v>0</v>
      </c>
      <c r="F151" s="46">
        <f t="shared" si="21"/>
        <v>0</v>
      </c>
      <c r="G151" s="46">
        <f t="shared" si="22"/>
        <v>0</v>
      </c>
      <c r="H151" s="47">
        <f t="shared" si="23"/>
        <v>0</v>
      </c>
      <c r="I151" s="40">
        <f>IFERROR(_xlfn.XLOOKUP(A151,Staff_Name[Staff Member],Staff_Name[Target T:R Balance],""),"")</f>
        <v>0</v>
      </c>
      <c r="J151" s="40">
        <f>IFERROR(_xlfn.XLOOKUP(A151,Staff_Name[Staff Member],Staff_Name[Target Band],""),"")</f>
        <v>0</v>
      </c>
      <c r="K151" s="40" t="str">
        <f t="shared" si="24"/>
        <v/>
      </c>
      <c r="L151" s="40" t="str">
        <f t="shared" si="25"/>
        <v/>
      </c>
      <c r="M151" s="40" t="str">
        <f t="shared" si="26"/>
        <v>Yes</v>
      </c>
      <c r="O151"/>
      <c r="P151"/>
      <c r="Q151"/>
      <c r="R151"/>
      <c r="S151"/>
      <c r="T151"/>
      <c r="U151"/>
    </row>
    <row r="152" spans="1:21" x14ac:dyDescent="0.25">
      <c r="A152" s="40"/>
      <c r="B152" s="40">
        <f>_xlfn.XLOOKUP(A152,Staff_Name[Staff Member],Staff_Name[FTE],"")</f>
        <v>0</v>
      </c>
      <c r="C152" s="46">
        <f t="shared" si="18"/>
        <v>0</v>
      </c>
      <c r="D152" s="46">
        <f t="shared" si="19"/>
        <v>0</v>
      </c>
      <c r="E152" s="46">
        <f t="shared" si="20"/>
        <v>0</v>
      </c>
      <c r="F152" s="46">
        <f t="shared" si="21"/>
        <v>0</v>
      </c>
      <c r="G152" s="46">
        <f t="shared" si="22"/>
        <v>0</v>
      </c>
      <c r="H152" s="47">
        <f t="shared" si="23"/>
        <v>0</v>
      </c>
      <c r="I152" s="40">
        <f>IFERROR(_xlfn.XLOOKUP(A152,Staff_Name[Staff Member],Staff_Name[Target T:R Balance],""),"")</f>
        <v>0</v>
      </c>
      <c r="J152" s="40">
        <f>IFERROR(_xlfn.XLOOKUP(A152,Staff_Name[Staff Member],Staff_Name[Target Band],""),"")</f>
        <v>0</v>
      </c>
      <c r="K152" s="40" t="str">
        <f t="shared" si="24"/>
        <v/>
      </c>
      <c r="L152" s="40" t="str">
        <f t="shared" si="25"/>
        <v/>
      </c>
      <c r="M152" s="40" t="str">
        <f t="shared" si="26"/>
        <v>Yes</v>
      </c>
      <c r="O152"/>
      <c r="P152"/>
      <c r="Q152"/>
      <c r="R152"/>
      <c r="S152"/>
      <c r="T152"/>
      <c r="U152"/>
    </row>
    <row r="153" spans="1:21" x14ac:dyDescent="0.25">
      <c r="A153" s="40"/>
      <c r="B153" s="40">
        <f>_xlfn.XLOOKUP(A153,Staff_Name[Staff Member],Staff_Name[FTE],"")</f>
        <v>0</v>
      </c>
      <c r="C153" s="46">
        <f t="shared" si="18"/>
        <v>0</v>
      </c>
      <c r="D153" s="46">
        <f t="shared" si="19"/>
        <v>0</v>
      </c>
      <c r="E153" s="46">
        <f t="shared" si="20"/>
        <v>0</v>
      </c>
      <c r="F153" s="46">
        <f t="shared" si="21"/>
        <v>0</v>
      </c>
      <c r="G153" s="46">
        <f t="shared" si="22"/>
        <v>0</v>
      </c>
      <c r="H153" s="47">
        <f t="shared" si="23"/>
        <v>0</v>
      </c>
      <c r="I153" s="40">
        <f>IFERROR(_xlfn.XLOOKUP(A153,Staff_Name[Staff Member],Staff_Name[Target T:R Balance],""),"")</f>
        <v>0</v>
      </c>
      <c r="J153" s="40">
        <f>IFERROR(_xlfn.XLOOKUP(A153,Staff_Name[Staff Member],Staff_Name[Target Band],""),"")</f>
        <v>0</v>
      </c>
      <c r="K153" s="40" t="str">
        <f t="shared" si="24"/>
        <v/>
      </c>
      <c r="L153" s="40" t="str">
        <f t="shared" si="25"/>
        <v/>
      </c>
      <c r="M153" s="40" t="str">
        <f t="shared" si="26"/>
        <v>Yes</v>
      </c>
      <c r="O153"/>
      <c r="P153"/>
      <c r="Q153"/>
      <c r="R153"/>
      <c r="S153"/>
      <c r="T153"/>
      <c r="U153"/>
    </row>
    <row r="154" spans="1:21" x14ac:dyDescent="0.25">
      <c r="A154" s="40"/>
      <c r="B154" s="40">
        <f>_xlfn.XLOOKUP(A154,Staff_Name[Staff Member],Staff_Name[FTE],"")</f>
        <v>0</v>
      </c>
      <c r="C154" s="46">
        <f t="shared" si="18"/>
        <v>0</v>
      </c>
      <c r="D154" s="46">
        <f t="shared" si="19"/>
        <v>0</v>
      </c>
      <c r="E154" s="46">
        <f t="shared" si="20"/>
        <v>0</v>
      </c>
      <c r="F154" s="46">
        <f t="shared" si="21"/>
        <v>0</v>
      </c>
      <c r="G154" s="46">
        <f t="shared" si="22"/>
        <v>0</v>
      </c>
      <c r="H154" s="47">
        <f t="shared" si="23"/>
        <v>0</v>
      </c>
      <c r="I154" s="40">
        <f>IFERROR(_xlfn.XLOOKUP(A154,Staff_Name[Staff Member],Staff_Name[Target T:R Balance],""),"")</f>
        <v>0</v>
      </c>
      <c r="J154" s="40">
        <f>IFERROR(_xlfn.XLOOKUP(A154,Staff_Name[Staff Member],Staff_Name[Target Band],""),"")</f>
        <v>0</v>
      </c>
      <c r="K154" s="40" t="str">
        <f t="shared" si="24"/>
        <v/>
      </c>
      <c r="L154" s="40" t="str">
        <f t="shared" si="25"/>
        <v/>
      </c>
      <c r="M154" s="40" t="str">
        <f t="shared" si="26"/>
        <v>Yes</v>
      </c>
      <c r="O154"/>
      <c r="P154"/>
      <c r="Q154"/>
      <c r="R154"/>
      <c r="S154"/>
      <c r="T154"/>
      <c r="U154"/>
    </row>
    <row r="155" spans="1:21" x14ac:dyDescent="0.25">
      <c r="A155" s="40"/>
      <c r="B155" s="40">
        <f>_xlfn.XLOOKUP(A155,Staff_Name[Staff Member],Staff_Name[FTE],"")</f>
        <v>0</v>
      </c>
      <c r="C155" s="46">
        <f t="shared" si="18"/>
        <v>0</v>
      </c>
      <c r="D155" s="46">
        <f t="shared" si="19"/>
        <v>0</v>
      </c>
      <c r="E155" s="46">
        <f t="shared" si="20"/>
        <v>0</v>
      </c>
      <c r="F155" s="46">
        <f t="shared" si="21"/>
        <v>0</v>
      </c>
      <c r="G155" s="46">
        <f t="shared" si="22"/>
        <v>0</v>
      </c>
      <c r="H155" s="47">
        <f t="shared" si="23"/>
        <v>0</v>
      </c>
      <c r="I155" s="40">
        <f>IFERROR(_xlfn.XLOOKUP(A155,Staff_Name[Staff Member],Staff_Name[Target T:R Balance],""),"")</f>
        <v>0</v>
      </c>
      <c r="J155" s="40">
        <f>IFERROR(_xlfn.XLOOKUP(A155,Staff_Name[Staff Member],Staff_Name[Target Band],""),"")</f>
        <v>0</v>
      </c>
      <c r="K155" s="40" t="str">
        <f t="shared" si="24"/>
        <v/>
      </c>
      <c r="L155" s="40" t="str">
        <f t="shared" si="25"/>
        <v/>
      </c>
      <c r="M155" s="40" t="str">
        <f t="shared" si="26"/>
        <v>Yes</v>
      </c>
      <c r="O155"/>
      <c r="P155"/>
      <c r="Q155"/>
      <c r="R155"/>
      <c r="S155"/>
      <c r="T155"/>
      <c r="U155"/>
    </row>
    <row r="156" spans="1:21" x14ac:dyDescent="0.25">
      <c r="A156" s="40"/>
      <c r="B156" s="40">
        <f>_xlfn.XLOOKUP(A156,Staff_Name[Staff Member],Staff_Name[FTE],"")</f>
        <v>0</v>
      </c>
      <c r="C156" s="46">
        <f t="shared" si="18"/>
        <v>0</v>
      </c>
      <c r="D156" s="46">
        <f t="shared" si="19"/>
        <v>0</v>
      </c>
      <c r="E156" s="46">
        <f t="shared" si="20"/>
        <v>0</v>
      </c>
      <c r="F156" s="46">
        <f t="shared" si="21"/>
        <v>0</v>
      </c>
      <c r="G156" s="46">
        <f t="shared" si="22"/>
        <v>0</v>
      </c>
      <c r="H156" s="47">
        <f t="shared" si="23"/>
        <v>0</v>
      </c>
      <c r="I156" s="40">
        <f>IFERROR(_xlfn.XLOOKUP(A156,Staff_Name[Staff Member],Staff_Name[Target T:R Balance],""),"")</f>
        <v>0</v>
      </c>
      <c r="J156" s="40">
        <f>IFERROR(_xlfn.XLOOKUP(A156,Staff_Name[Staff Member],Staff_Name[Target Band],""),"")</f>
        <v>0</v>
      </c>
      <c r="K156" s="40" t="str">
        <f t="shared" si="24"/>
        <v/>
      </c>
      <c r="L156" s="40" t="str">
        <f t="shared" si="25"/>
        <v/>
      </c>
      <c r="M156" s="40" t="str">
        <f t="shared" si="26"/>
        <v>Yes</v>
      </c>
      <c r="O156"/>
      <c r="P156"/>
      <c r="Q156"/>
      <c r="R156"/>
      <c r="S156"/>
      <c r="T156"/>
      <c r="U156"/>
    </row>
    <row r="157" spans="1:21" x14ac:dyDescent="0.25">
      <c r="A157" s="40"/>
      <c r="B157" s="40">
        <f>_xlfn.XLOOKUP(A157,Staff_Name[Staff Member],Staff_Name[FTE],"")</f>
        <v>0</v>
      </c>
      <c r="C157" s="46">
        <f t="shared" si="18"/>
        <v>0</v>
      </c>
      <c r="D157" s="46">
        <f t="shared" si="19"/>
        <v>0</v>
      </c>
      <c r="E157" s="46">
        <f t="shared" si="20"/>
        <v>0</v>
      </c>
      <c r="F157" s="46">
        <f t="shared" si="21"/>
        <v>0</v>
      </c>
      <c r="G157" s="46">
        <f t="shared" si="22"/>
        <v>0</v>
      </c>
      <c r="H157" s="47">
        <f t="shared" si="23"/>
        <v>0</v>
      </c>
      <c r="I157" s="40">
        <f>IFERROR(_xlfn.XLOOKUP(A157,Staff_Name[Staff Member],Staff_Name[Target T:R Balance],""),"")</f>
        <v>0</v>
      </c>
      <c r="J157" s="40">
        <f>IFERROR(_xlfn.XLOOKUP(A157,Staff_Name[Staff Member],Staff_Name[Target Band],""),"")</f>
        <v>0</v>
      </c>
      <c r="K157" s="40" t="str">
        <f t="shared" si="24"/>
        <v/>
      </c>
      <c r="L157" s="40" t="str">
        <f t="shared" si="25"/>
        <v/>
      </c>
      <c r="M157" s="40" t="str">
        <f t="shared" si="26"/>
        <v>Yes</v>
      </c>
      <c r="O157"/>
      <c r="P157"/>
      <c r="Q157"/>
      <c r="R157"/>
      <c r="S157"/>
      <c r="T157"/>
      <c r="U157"/>
    </row>
    <row r="158" spans="1:21" x14ac:dyDescent="0.25">
      <c r="A158" s="40"/>
      <c r="B158" s="40">
        <f>_xlfn.XLOOKUP(A158,Staff_Name[Staff Member],Staff_Name[FTE],"")</f>
        <v>0</v>
      </c>
      <c r="C158" s="46">
        <f t="shared" si="18"/>
        <v>0</v>
      </c>
      <c r="D158" s="46">
        <f t="shared" si="19"/>
        <v>0</v>
      </c>
      <c r="E158" s="46">
        <f t="shared" si="20"/>
        <v>0</v>
      </c>
      <c r="F158" s="46">
        <f t="shared" si="21"/>
        <v>0</v>
      </c>
      <c r="G158" s="46">
        <f t="shared" si="22"/>
        <v>0</v>
      </c>
      <c r="H158" s="47">
        <f t="shared" si="23"/>
        <v>0</v>
      </c>
      <c r="I158" s="40">
        <f>IFERROR(_xlfn.XLOOKUP(A158,Staff_Name[Staff Member],Staff_Name[Target T:R Balance],""),"")</f>
        <v>0</v>
      </c>
      <c r="J158" s="40">
        <f>IFERROR(_xlfn.XLOOKUP(A158,Staff_Name[Staff Member],Staff_Name[Target Band],""),"")</f>
        <v>0</v>
      </c>
      <c r="K158" s="40" t="str">
        <f t="shared" si="24"/>
        <v/>
      </c>
      <c r="L158" s="40" t="str">
        <f t="shared" si="25"/>
        <v/>
      </c>
      <c r="M158" s="40" t="str">
        <f t="shared" si="26"/>
        <v>Yes</v>
      </c>
      <c r="O158"/>
      <c r="P158"/>
      <c r="Q158"/>
      <c r="R158"/>
      <c r="S158"/>
      <c r="T158"/>
      <c r="U158"/>
    </row>
    <row r="159" spans="1:21" x14ac:dyDescent="0.25">
      <c r="A159" s="40"/>
      <c r="B159" s="40">
        <f>_xlfn.XLOOKUP(A159,Staff_Name[Staff Member],Staff_Name[FTE],"")</f>
        <v>0</v>
      </c>
      <c r="C159" s="46">
        <f t="shared" si="18"/>
        <v>0</v>
      </c>
      <c r="D159" s="46">
        <f t="shared" si="19"/>
        <v>0</v>
      </c>
      <c r="E159" s="46">
        <f t="shared" si="20"/>
        <v>0</v>
      </c>
      <c r="F159" s="46">
        <f t="shared" si="21"/>
        <v>0</v>
      </c>
      <c r="G159" s="46">
        <f t="shared" si="22"/>
        <v>0</v>
      </c>
      <c r="H159" s="47">
        <f t="shared" si="23"/>
        <v>0</v>
      </c>
      <c r="I159" s="40">
        <f>IFERROR(_xlfn.XLOOKUP(A159,Staff_Name[Staff Member],Staff_Name[Target T:R Balance],""),"")</f>
        <v>0</v>
      </c>
      <c r="J159" s="40">
        <f>IFERROR(_xlfn.XLOOKUP(A159,Staff_Name[Staff Member],Staff_Name[Target Band],""),"")</f>
        <v>0</v>
      </c>
      <c r="K159" s="40" t="str">
        <f t="shared" si="24"/>
        <v/>
      </c>
      <c r="L159" s="40" t="str">
        <f t="shared" si="25"/>
        <v/>
      </c>
      <c r="M159" s="40" t="str">
        <f t="shared" si="26"/>
        <v>Yes</v>
      </c>
      <c r="O159"/>
      <c r="P159"/>
      <c r="Q159"/>
      <c r="R159"/>
      <c r="S159"/>
      <c r="T159"/>
      <c r="U159"/>
    </row>
    <row r="160" spans="1:21" x14ac:dyDescent="0.25">
      <c r="A160" s="40"/>
      <c r="B160" s="40">
        <f>_xlfn.XLOOKUP(A160,Staff_Name[Staff Member],Staff_Name[FTE],"")</f>
        <v>0</v>
      </c>
      <c r="C160" s="46">
        <f t="shared" si="18"/>
        <v>0</v>
      </c>
      <c r="D160" s="46">
        <f t="shared" si="19"/>
        <v>0</v>
      </c>
      <c r="E160" s="46">
        <f t="shared" si="20"/>
        <v>0</v>
      </c>
      <c r="F160" s="46">
        <f t="shared" si="21"/>
        <v>0</v>
      </c>
      <c r="G160" s="46">
        <f t="shared" si="22"/>
        <v>0</v>
      </c>
      <c r="H160" s="47">
        <f t="shared" si="23"/>
        <v>0</v>
      </c>
      <c r="I160" s="40">
        <f>IFERROR(_xlfn.XLOOKUP(A160,Staff_Name[Staff Member],Staff_Name[Target T:R Balance],""),"")</f>
        <v>0</v>
      </c>
      <c r="J160" s="40">
        <f>IFERROR(_xlfn.XLOOKUP(A160,Staff_Name[Staff Member],Staff_Name[Target Band],""),"")</f>
        <v>0</v>
      </c>
      <c r="K160" s="40" t="str">
        <f t="shared" si="24"/>
        <v/>
      </c>
      <c r="L160" s="40" t="str">
        <f t="shared" si="25"/>
        <v/>
      </c>
      <c r="M160" s="40" t="str">
        <f t="shared" si="26"/>
        <v>Yes</v>
      </c>
      <c r="O160"/>
      <c r="P160"/>
      <c r="Q160"/>
      <c r="R160"/>
      <c r="S160"/>
      <c r="T160"/>
      <c r="U160"/>
    </row>
    <row r="161" spans="1:21" x14ac:dyDescent="0.25">
      <c r="A161" s="40"/>
      <c r="B161" s="40">
        <f>_xlfn.XLOOKUP(A161,Staff_Name[Staff Member],Staff_Name[FTE],"")</f>
        <v>0</v>
      </c>
      <c r="C161" s="46">
        <f t="shared" si="18"/>
        <v>0</v>
      </c>
      <c r="D161" s="46">
        <f t="shared" si="19"/>
        <v>0</v>
      </c>
      <c r="E161" s="46">
        <f t="shared" si="20"/>
        <v>0</v>
      </c>
      <c r="F161" s="46">
        <f t="shared" si="21"/>
        <v>0</v>
      </c>
      <c r="G161" s="46">
        <f t="shared" si="22"/>
        <v>0</v>
      </c>
      <c r="H161" s="47">
        <f t="shared" si="23"/>
        <v>0</v>
      </c>
      <c r="I161" s="40">
        <f>IFERROR(_xlfn.XLOOKUP(A161,Staff_Name[Staff Member],Staff_Name[Target T:R Balance],""),"")</f>
        <v>0</v>
      </c>
      <c r="J161" s="40">
        <f>IFERROR(_xlfn.XLOOKUP(A161,Staff_Name[Staff Member],Staff_Name[Target Band],""),"")</f>
        <v>0</v>
      </c>
      <c r="K161" s="40" t="str">
        <f t="shared" si="24"/>
        <v/>
      </c>
      <c r="L161" s="40" t="str">
        <f t="shared" si="25"/>
        <v/>
      </c>
      <c r="M161" s="40" t="str">
        <f t="shared" si="26"/>
        <v>Yes</v>
      </c>
      <c r="O161"/>
      <c r="P161"/>
      <c r="Q161"/>
      <c r="R161"/>
      <c r="S161"/>
      <c r="T161"/>
      <c r="U161"/>
    </row>
    <row r="162" spans="1:21" x14ac:dyDescent="0.25">
      <c r="A162" s="40"/>
      <c r="B162" s="40">
        <f>_xlfn.XLOOKUP(A162,Staff_Name[Staff Member],Staff_Name[FTE],"")</f>
        <v>0</v>
      </c>
      <c r="C162" s="46">
        <f t="shared" si="18"/>
        <v>0</v>
      </c>
      <c r="D162" s="46">
        <f t="shared" si="19"/>
        <v>0</v>
      </c>
      <c r="E162" s="46">
        <f t="shared" si="20"/>
        <v>0</v>
      </c>
      <c r="F162" s="46">
        <f t="shared" si="21"/>
        <v>0</v>
      </c>
      <c r="G162" s="46">
        <f t="shared" si="22"/>
        <v>0</v>
      </c>
      <c r="H162" s="47">
        <f t="shared" si="23"/>
        <v>0</v>
      </c>
      <c r="I162" s="40">
        <f>IFERROR(_xlfn.XLOOKUP(A162,Staff_Name[Staff Member],Staff_Name[Target T:R Balance],""),"")</f>
        <v>0</v>
      </c>
      <c r="J162" s="40">
        <f>IFERROR(_xlfn.XLOOKUP(A162,Staff_Name[Staff Member],Staff_Name[Target Band],""),"")</f>
        <v>0</v>
      </c>
      <c r="K162" s="40" t="str">
        <f t="shared" si="24"/>
        <v/>
      </c>
      <c r="L162" s="40" t="str">
        <f t="shared" si="25"/>
        <v/>
      </c>
      <c r="M162" s="40" t="str">
        <f t="shared" si="26"/>
        <v>Yes</v>
      </c>
      <c r="O162"/>
      <c r="P162"/>
      <c r="Q162"/>
      <c r="R162"/>
      <c r="S162"/>
      <c r="T162"/>
      <c r="U162"/>
    </row>
    <row r="163" spans="1:21" x14ac:dyDescent="0.25">
      <c r="A163" s="40"/>
      <c r="B163" s="40">
        <f>_xlfn.XLOOKUP(A163,Staff_Name[Staff Member],Staff_Name[FTE],"")</f>
        <v>0</v>
      </c>
      <c r="C163" s="46">
        <f t="shared" si="18"/>
        <v>0</v>
      </c>
      <c r="D163" s="46">
        <f t="shared" si="19"/>
        <v>0</v>
      </c>
      <c r="E163" s="46">
        <f t="shared" si="20"/>
        <v>0</v>
      </c>
      <c r="F163" s="46">
        <f t="shared" si="21"/>
        <v>0</v>
      </c>
      <c r="G163" s="46">
        <f t="shared" si="22"/>
        <v>0</v>
      </c>
      <c r="H163" s="47">
        <f t="shared" si="23"/>
        <v>0</v>
      </c>
      <c r="I163" s="40">
        <f>IFERROR(_xlfn.XLOOKUP(A163,Staff_Name[Staff Member],Staff_Name[Target T:R Balance],""),"")</f>
        <v>0</v>
      </c>
      <c r="J163" s="40">
        <f>IFERROR(_xlfn.XLOOKUP(A163,Staff_Name[Staff Member],Staff_Name[Target Band],""),"")</f>
        <v>0</v>
      </c>
      <c r="K163" s="40" t="str">
        <f t="shared" si="24"/>
        <v/>
      </c>
      <c r="L163" s="40" t="str">
        <f t="shared" si="25"/>
        <v/>
      </c>
      <c r="M163" s="40" t="str">
        <f t="shared" si="26"/>
        <v>Yes</v>
      </c>
      <c r="O163"/>
      <c r="P163"/>
      <c r="Q163"/>
      <c r="R163"/>
      <c r="S163"/>
      <c r="T163"/>
      <c r="U163"/>
    </row>
    <row r="164" spans="1:21" x14ac:dyDescent="0.25">
      <c r="A164" s="40"/>
      <c r="B164" s="40">
        <f>_xlfn.XLOOKUP(A164,Staff_Name[Staff Member],Staff_Name[FTE],"")</f>
        <v>0</v>
      </c>
      <c r="C164" s="46">
        <f t="shared" si="18"/>
        <v>0</v>
      </c>
      <c r="D164" s="46">
        <f t="shared" si="19"/>
        <v>0</v>
      </c>
      <c r="E164" s="46">
        <f t="shared" si="20"/>
        <v>0</v>
      </c>
      <c r="F164" s="46">
        <f t="shared" si="21"/>
        <v>0</v>
      </c>
      <c r="G164" s="46">
        <f t="shared" si="22"/>
        <v>0</v>
      </c>
      <c r="H164" s="47">
        <f t="shared" si="23"/>
        <v>0</v>
      </c>
      <c r="I164" s="40">
        <f>IFERROR(_xlfn.XLOOKUP(A164,Staff_Name[Staff Member],Staff_Name[Target T:R Balance],""),"")</f>
        <v>0</v>
      </c>
      <c r="J164" s="40">
        <f>IFERROR(_xlfn.XLOOKUP(A164,Staff_Name[Staff Member],Staff_Name[Target Band],""),"")</f>
        <v>0</v>
      </c>
      <c r="K164" s="40" t="str">
        <f t="shared" si="24"/>
        <v/>
      </c>
      <c r="L164" s="40" t="str">
        <f t="shared" si="25"/>
        <v/>
      </c>
      <c r="M164" s="40" t="str">
        <f t="shared" si="26"/>
        <v>Yes</v>
      </c>
      <c r="O164"/>
      <c r="P164"/>
      <c r="Q164"/>
      <c r="R164"/>
      <c r="S164"/>
      <c r="T164"/>
      <c r="U164"/>
    </row>
    <row r="165" spans="1:21" x14ac:dyDescent="0.25">
      <c r="A165" s="40"/>
      <c r="B165" s="40">
        <f>_xlfn.XLOOKUP(A165,Staff_Name[Staff Member],Staff_Name[FTE],"")</f>
        <v>0</v>
      </c>
      <c r="C165" s="46">
        <f t="shared" si="18"/>
        <v>0</v>
      </c>
      <c r="D165" s="46">
        <f t="shared" si="19"/>
        <v>0</v>
      </c>
      <c r="E165" s="46">
        <f t="shared" si="20"/>
        <v>0</v>
      </c>
      <c r="F165" s="46">
        <f t="shared" si="21"/>
        <v>0</v>
      </c>
      <c r="G165" s="46">
        <f t="shared" si="22"/>
        <v>0</v>
      </c>
      <c r="H165" s="47">
        <f t="shared" si="23"/>
        <v>0</v>
      </c>
      <c r="I165" s="40">
        <f>IFERROR(_xlfn.XLOOKUP(A165,Staff_Name[Staff Member],Staff_Name[Target T:R Balance],""),"")</f>
        <v>0</v>
      </c>
      <c r="J165" s="40">
        <f>IFERROR(_xlfn.XLOOKUP(A165,Staff_Name[Staff Member],Staff_Name[Target Band],""),"")</f>
        <v>0</v>
      </c>
      <c r="K165" s="40" t="str">
        <f t="shared" si="24"/>
        <v/>
      </c>
      <c r="L165" s="40" t="str">
        <f t="shared" si="25"/>
        <v/>
      </c>
      <c r="M165" s="40" t="str">
        <f t="shared" si="26"/>
        <v>Yes</v>
      </c>
      <c r="O165"/>
      <c r="P165"/>
      <c r="Q165"/>
      <c r="R165"/>
      <c r="S165"/>
      <c r="T165"/>
      <c r="U165"/>
    </row>
    <row r="166" spans="1:21" x14ac:dyDescent="0.25">
      <c r="A166" s="40"/>
      <c r="B166" s="40">
        <f>_xlfn.XLOOKUP(A166,Staff_Name[Staff Member],Staff_Name[FTE],"")</f>
        <v>0</v>
      </c>
      <c r="C166" s="46">
        <f t="shared" si="18"/>
        <v>0</v>
      </c>
      <c r="D166" s="46">
        <f t="shared" si="19"/>
        <v>0</v>
      </c>
      <c r="E166" s="46">
        <f t="shared" si="20"/>
        <v>0</v>
      </c>
      <c r="F166" s="46">
        <f t="shared" si="21"/>
        <v>0</v>
      </c>
      <c r="G166" s="46">
        <f t="shared" si="22"/>
        <v>0</v>
      </c>
      <c r="H166" s="47">
        <f t="shared" si="23"/>
        <v>0</v>
      </c>
      <c r="I166" s="40">
        <f>IFERROR(_xlfn.XLOOKUP(A166,Staff_Name[Staff Member],Staff_Name[Target T:R Balance],""),"")</f>
        <v>0</v>
      </c>
      <c r="J166" s="40">
        <f>IFERROR(_xlfn.XLOOKUP(A166,Staff_Name[Staff Member],Staff_Name[Target Band],""),"")</f>
        <v>0</v>
      </c>
      <c r="K166" s="40" t="str">
        <f t="shared" si="24"/>
        <v/>
      </c>
      <c r="L166" s="40" t="str">
        <f t="shared" si="25"/>
        <v/>
      </c>
      <c r="M166" s="40" t="str">
        <f t="shared" si="26"/>
        <v>Yes</v>
      </c>
      <c r="O166"/>
      <c r="P166"/>
      <c r="Q166"/>
      <c r="R166"/>
      <c r="S166"/>
      <c r="T166"/>
      <c r="U166"/>
    </row>
    <row r="167" spans="1:21" x14ac:dyDescent="0.25">
      <c r="A167" s="40"/>
      <c r="B167" s="40">
        <f>_xlfn.XLOOKUP(A167,Staff_Name[Staff Member],Staff_Name[FTE],"")</f>
        <v>0</v>
      </c>
      <c r="C167" s="46">
        <f t="shared" si="18"/>
        <v>0</v>
      </c>
      <c r="D167" s="46">
        <f t="shared" si="19"/>
        <v>0</v>
      </c>
      <c r="E167" s="46">
        <f t="shared" si="20"/>
        <v>0</v>
      </c>
      <c r="F167" s="46">
        <f t="shared" si="21"/>
        <v>0</v>
      </c>
      <c r="G167" s="46">
        <f t="shared" si="22"/>
        <v>0</v>
      </c>
      <c r="H167" s="47">
        <f t="shared" si="23"/>
        <v>0</v>
      </c>
      <c r="I167" s="40">
        <f>IFERROR(_xlfn.XLOOKUP(A167,Staff_Name[Staff Member],Staff_Name[Target T:R Balance],""),"")</f>
        <v>0</v>
      </c>
      <c r="J167" s="40">
        <f>IFERROR(_xlfn.XLOOKUP(A167,Staff_Name[Staff Member],Staff_Name[Target Band],""),"")</f>
        <v>0</v>
      </c>
      <c r="K167" s="40" t="str">
        <f t="shared" si="24"/>
        <v/>
      </c>
      <c r="L167" s="40" t="str">
        <f t="shared" si="25"/>
        <v/>
      </c>
      <c r="M167" s="40" t="str">
        <f t="shared" si="26"/>
        <v>Yes</v>
      </c>
      <c r="O167"/>
      <c r="P167"/>
      <c r="Q167"/>
      <c r="R167"/>
      <c r="S167"/>
      <c r="T167"/>
      <c r="U167"/>
    </row>
    <row r="168" spans="1:21" x14ac:dyDescent="0.25">
      <c r="A168" s="40"/>
      <c r="B168" s="40">
        <f>_xlfn.XLOOKUP(A168,Staff_Name[Staff Member],Staff_Name[FTE],"")</f>
        <v>0</v>
      </c>
      <c r="C168" s="46">
        <f t="shared" si="18"/>
        <v>0</v>
      </c>
      <c r="D168" s="46">
        <f t="shared" si="19"/>
        <v>0</v>
      </c>
      <c r="E168" s="46">
        <f t="shared" si="20"/>
        <v>0</v>
      </c>
      <c r="F168" s="46">
        <f t="shared" si="21"/>
        <v>0</v>
      </c>
      <c r="G168" s="46">
        <f t="shared" si="22"/>
        <v>0</v>
      </c>
      <c r="H168" s="47">
        <f t="shared" si="23"/>
        <v>0</v>
      </c>
      <c r="I168" s="40">
        <f>IFERROR(_xlfn.XLOOKUP(A168,Staff_Name[Staff Member],Staff_Name[Target T:R Balance],""),"")</f>
        <v>0</v>
      </c>
      <c r="J168" s="40">
        <f>IFERROR(_xlfn.XLOOKUP(A168,Staff_Name[Staff Member],Staff_Name[Target Band],""),"")</f>
        <v>0</v>
      </c>
      <c r="K168" s="40" t="str">
        <f t="shared" si="24"/>
        <v/>
      </c>
      <c r="L168" s="40" t="str">
        <f t="shared" si="25"/>
        <v/>
      </c>
      <c r="M168" s="40" t="str">
        <f t="shared" si="26"/>
        <v>Yes</v>
      </c>
      <c r="O168"/>
      <c r="P168"/>
      <c r="Q168"/>
      <c r="R168"/>
      <c r="S168"/>
      <c r="T168"/>
      <c r="U168"/>
    </row>
    <row r="169" spans="1:21" x14ac:dyDescent="0.25">
      <c r="A169" s="40"/>
      <c r="B169" s="40">
        <f>_xlfn.XLOOKUP(A169,Staff_Name[Staff Member],Staff_Name[FTE],"")</f>
        <v>0</v>
      </c>
      <c r="C169" s="46">
        <f t="shared" si="18"/>
        <v>0</v>
      </c>
      <c r="D169" s="46">
        <f t="shared" si="19"/>
        <v>0</v>
      </c>
      <c r="E169" s="46">
        <f t="shared" si="20"/>
        <v>0</v>
      </c>
      <c r="F169" s="46">
        <f t="shared" si="21"/>
        <v>0</v>
      </c>
      <c r="G169" s="46">
        <f t="shared" si="22"/>
        <v>0</v>
      </c>
      <c r="H169" s="47">
        <f t="shared" si="23"/>
        <v>0</v>
      </c>
      <c r="I169" s="40">
        <f>IFERROR(_xlfn.XLOOKUP(A169,Staff_Name[Staff Member],Staff_Name[Target T:R Balance],""),"")</f>
        <v>0</v>
      </c>
      <c r="J169" s="40">
        <f>IFERROR(_xlfn.XLOOKUP(A169,Staff_Name[Staff Member],Staff_Name[Target Band],""),"")</f>
        <v>0</v>
      </c>
      <c r="K169" s="40" t="str">
        <f t="shared" si="24"/>
        <v/>
      </c>
      <c r="L169" s="40" t="str">
        <f t="shared" si="25"/>
        <v/>
      </c>
      <c r="M169" s="40" t="str">
        <f t="shared" si="26"/>
        <v>Yes</v>
      </c>
      <c r="O169"/>
      <c r="P169"/>
      <c r="Q169"/>
      <c r="R169"/>
      <c r="S169"/>
      <c r="T169"/>
      <c r="U169"/>
    </row>
    <row r="170" spans="1:21" x14ac:dyDescent="0.25">
      <c r="A170" s="40"/>
      <c r="B170" s="40">
        <f>_xlfn.XLOOKUP(A170,Staff_Name[Staff Member],Staff_Name[FTE],"")</f>
        <v>0</v>
      </c>
      <c r="C170" s="46">
        <f t="shared" si="18"/>
        <v>0</v>
      </c>
      <c r="D170" s="46">
        <f t="shared" si="19"/>
        <v>0</v>
      </c>
      <c r="E170" s="46">
        <f t="shared" si="20"/>
        <v>0</v>
      </c>
      <c r="F170" s="46">
        <f t="shared" si="21"/>
        <v>0</v>
      </c>
      <c r="G170" s="46">
        <f t="shared" si="22"/>
        <v>0</v>
      </c>
      <c r="H170" s="47">
        <f t="shared" si="23"/>
        <v>0</v>
      </c>
      <c r="I170" s="40">
        <f>IFERROR(_xlfn.XLOOKUP(A170,Staff_Name[Staff Member],Staff_Name[Target T:R Balance],""),"")</f>
        <v>0</v>
      </c>
      <c r="J170" s="40">
        <f>IFERROR(_xlfn.XLOOKUP(A170,Staff_Name[Staff Member],Staff_Name[Target Band],""),"")</f>
        <v>0</v>
      </c>
      <c r="K170" s="40" t="str">
        <f t="shared" si="24"/>
        <v/>
      </c>
      <c r="L170" s="40" t="str">
        <f t="shared" si="25"/>
        <v/>
      </c>
      <c r="M170" s="40" t="str">
        <f t="shared" si="26"/>
        <v>Yes</v>
      </c>
      <c r="O170"/>
      <c r="P170"/>
      <c r="Q170"/>
      <c r="R170"/>
      <c r="S170"/>
      <c r="T170"/>
      <c r="U170"/>
    </row>
    <row r="171" spans="1:21" x14ac:dyDescent="0.25">
      <c r="A171" s="40"/>
      <c r="B171" s="40">
        <f>_xlfn.XLOOKUP(A171,Staff_Name[Staff Member],Staff_Name[FTE],"")</f>
        <v>0</v>
      </c>
      <c r="C171" s="46">
        <f t="shared" si="18"/>
        <v>0</v>
      </c>
      <c r="D171" s="46">
        <f t="shared" si="19"/>
        <v>0</v>
      </c>
      <c r="E171" s="46">
        <f t="shared" si="20"/>
        <v>0</v>
      </c>
      <c r="F171" s="46">
        <f t="shared" si="21"/>
        <v>0</v>
      </c>
      <c r="G171" s="46">
        <f t="shared" si="22"/>
        <v>0</v>
      </c>
      <c r="H171" s="47">
        <f t="shared" si="23"/>
        <v>0</v>
      </c>
      <c r="I171" s="40">
        <f>IFERROR(_xlfn.XLOOKUP(A171,Staff_Name[Staff Member],Staff_Name[Target T:R Balance],""),"")</f>
        <v>0</v>
      </c>
      <c r="J171" s="40">
        <f>IFERROR(_xlfn.XLOOKUP(A171,Staff_Name[Staff Member],Staff_Name[Target Band],""),"")</f>
        <v>0</v>
      </c>
      <c r="K171" s="40" t="str">
        <f t="shared" si="24"/>
        <v/>
      </c>
      <c r="L171" s="40" t="str">
        <f t="shared" si="25"/>
        <v/>
      </c>
      <c r="M171" s="40" t="str">
        <f t="shared" si="26"/>
        <v>Yes</v>
      </c>
      <c r="O171"/>
      <c r="P171"/>
      <c r="Q171"/>
      <c r="R171"/>
      <c r="S171"/>
      <c r="T171"/>
      <c r="U171"/>
    </row>
    <row r="172" spans="1:21" x14ac:dyDescent="0.25">
      <c r="A172" s="40"/>
      <c r="B172" s="40">
        <f>_xlfn.XLOOKUP(A172,Staff_Name[Staff Member],Staff_Name[FTE],"")</f>
        <v>0</v>
      </c>
      <c r="C172" s="46">
        <f t="shared" si="18"/>
        <v>0</v>
      </c>
      <c r="D172" s="46">
        <f t="shared" si="19"/>
        <v>0</v>
      </c>
      <c r="E172" s="46">
        <f t="shared" si="20"/>
        <v>0</v>
      </c>
      <c r="F172" s="46">
        <f t="shared" si="21"/>
        <v>0</v>
      </c>
      <c r="G172" s="46">
        <f t="shared" si="22"/>
        <v>0</v>
      </c>
      <c r="H172" s="47">
        <f t="shared" si="23"/>
        <v>0</v>
      </c>
      <c r="I172" s="40">
        <f>IFERROR(_xlfn.XLOOKUP(A172,Staff_Name[Staff Member],Staff_Name[Target T:R Balance],""),"")</f>
        <v>0</v>
      </c>
      <c r="J172" s="40">
        <f>IFERROR(_xlfn.XLOOKUP(A172,Staff_Name[Staff Member],Staff_Name[Target Band],""),"")</f>
        <v>0</v>
      </c>
      <c r="K172" s="40" t="str">
        <f t="shared" si="24"/>
        <v/>
      </c>
      <c r="L172" s="40" t="str">
        <f t="shared" si="25"/>
        <v/>
      </c>
      <c r="M172" s="40" t="str">
        <f t="shared" si="26"/>
        <v>Yes</v>
      </c>
      <c r="O172"/>
      <c r="P172"/>
      <c r="Q172"/>
      <c r="R172"/>
      <c r="S172"/>
      <c r="T172"/>
      <c r="U172"/>
    </row>
    <row r="173" spans="1:21" x14ac:dyDescent="0.25">
      <c r="A173" s="40"/>
      <c r="B173" s="40">
        <f>_xlfn.XLOOKUP(A173,Staff_Name[Staff Member],Staff_Name[FTE],"")</f>
        <v>0</v>
      </c>
      <c r="C173" s="46">
        <f t="shared" si="18"/>
        <v>0</v>
      </c>
      <c r="D173" s="46">
        <f t="shared" si="19"/>
        <v>0</v>
      </c>
      <c r="E173" s="46">
        <f t="shared" si="20"/>
        <v>0</v>
      </c>
      <c r="F173" s="46">
        <f t="shared" si="21"/>
        <v>0</v>
      </c>
      <c r="G173" s="46">
        <f t="shared" si="22"/>
        <v>0</v>
      </c>
      <c r="H173" s="47">
        <f t="shared" si="23"/>
        <v>0</v>
      </c>
      <c r="I173" s="40">
        <f>IFERROR(_xlfn.XLOOKUP(A173,Staff_Name[Staff Member],Staff_Name[Target T:R Balance],""),"")</f>
        <v>0</v>
      </c>
      <c r="J173" s="40">
        <f>IFERROR(_xlfn.XLOOKUP(A173,Staff_Name[Staff Member],Staff_Name[Target Band],""),"")</f>
        <v>0</v>
      </c>
      <c r="K173" s="40" t="str">
        <f t="shared" si="24"/>
        <v/>
      </c>
      <c r="L173" s="40" t="str">
        <f t="shared" si="25"/>
        <v/>
      </c>
      <c r="M173" s="40" t="str">
        <f t="shared" si="26"/>
        <v>Yes</v>
      </c>
      <c r="O173"/>
      <c r="P173"/>
      <c r="Q173"/>
      <c r="R173"/>
      <c r="S173"/>
      <c r="T173"/>
      <c r="U173"/>
    </row>
    <row r="174" spans="1:21" x14ac:dyDescent="0.25">
      <c r="A174" s="40"/>
      <c r="B174" s="40">
        <f>_xlfn.XLOOKUP(A174,Staff_Name[Staff Member],Staff_Name[FTE],"")</f>
        <v>0</v>
      </c>
      <c r="C174" s="46">
        <f t="shared" si="18"/>
        <v>0</v>
      </c>
      <c r="D174" s="46">
        <f t="shared" si="19"/>
        <v>0</v>
      </c>
      <c r="E174" s="46">
        <f t="shared" si="20"/>
        <v>0</v>
      </c>
      <c r="F174" s="46">
        <f t="shared" si="21"/>
        <v>0</v>
      </c>
      <c r="G174" s="46">
        <f t="shared" si="22"/>
        <v>0</v>
      </c>
      <c r="H174" s="47">
        <f t="shared" si="23"/>
        <v>0</v>
      </c>
      <c r="I174" s="40">
        <f>IFERROR(_xlfn.XLOOKUP(A174,Staff_Name[Staff Member],Staff_Name[Target T:R Balance],""),"")</f>
        <v>0</v>
      </c>
      <c r="J174" s="40">
        <f>IFERROR(_xlfn.XLOOKUP(A174,Staff_Name[Staff Member],Staff_Name[Target Band],""),"")</f>
        <v>0</v>
      </c>
      <c r="K174" s="40" t="str">
        <f t="shared" si="24"/>
        <v/>
      </c>
      <c r="L174" s="40" t="str">
        <f t="shared" si="25"/>
        <v/>
      </c>
      <c r="M174" s="40" t="str">
        <f t="shared" si="26"/>
        <v>Yes</v>
      </c>
      <c r="O174"/>
      <c r="P174"/>
      <c r="Q174"/>
      <c r="R174"/>
      <c r="S174"/>
      <c r="T174"/>
      <c r="U174"/>
    </row>
    <row r="175" spans="1:21" x14ac:dyDescent="0.25">
      <c r="A175" s="40"/>
      <c r="B175" s="40">
        <f>_xlfn.XLOOKUP(A175,Staff_Name[Staff Member],Staff_Name[FTE],"")</f>
        <v>0</v>
      </c>
      <c r="C175" s="46">
        <f t="shared" si="18"/>
        <v>0</v>
      </c>
      <c r="D175" s="46">
        <f t="shared" si="19"/>
        <v>0</v>
      </c>
      <c r="E175" s="46">
        <f t="shared" si="20"/>
        <v>0</v>
      </c>
      <c r="F175" s="46">
        <f t="shared" si="21"/>
        <v>0</v>
      </c>
      <c r="G175" s="46">
        <f t="shared" si="22"/>
        <v>0</v>
      </c>
      <c r="H175" s="47">
        <f t="shared" si="23"/>
        <v>0</v>
      </c>
      <c r="I175" s="40">
        <f>IFERROR(_xlfn.XLOOKUP(A175,Staff_Name[Staff Member],Staff_Name[Target T:R Balance],""),"")</f>
        <v>0</v>
      </c>
      <c r="J175" s="40">
        <f>IFERROR(_xlfn.XLOOKUP(A175,Staff_Name[Staff Member],Staff_Name[Target Band],""),"")</f>
        <v>0</v>
      </c>
      <c r="K175" s="40" t="str">
        <f t="shared" si="24"/>
        <v/>
      </c>
      <c r="L175" s="40" t="str">
        <f t="shared" si="25"/>
        <v/>
      </c>
      <c r="M175" s="40" t="str">
        <f t="shared" si="26"/>
        <v>Yes</v>
      </c>
      <c r="O175"/>
      <c r="P175"/>
      <c r="Q175"/>
      <c r="R175"/>
      <c r="S175"/>
      <c r="T175"/>
      <c r="U175"/>
    </row>
    <row r="176" spans="1:21" x14ac:dyDescent="0.25">
      <c r="A176" s="40"/>
      <c r="B176" s="40">
        <f>_xlfn.XLOOKUP(A176,Staff_Name[Staff Member],Staff_Name[FTE],"")</f>
        <v>0</v>
      </c>
      <c r="C176" s="46">
        <f t="shared" si="18"/>
        <v>0</v>
      </c>
      <c r="D176" s="46">
        <f t="shared" si="19"/>
        <v>0</v>
      </c>
      <c r="E176" s="46">
        <f t="shared" si="20"/>
        <v>0</v>
      </c>
      <c r="F176" s="46">
        <f t="shared" si="21"/>
        <v>0</v>
      </c>
      <c r="G176" s="46">
        <f t="shared" si="22"/>
        <v>0</v>
      </c>
      <c r="H176" s="47">
        <f t="shared" si="23"/>
        <v>0</v>
      </c>
      <c r="I176" s="40">
        <f>IFERROR(_xlfn.XLOOKUP(A176,Staff_Name[Staff Member],Staff_Name[Target T:R Balance],""),"")</f>
        <v>0</v>
      </c>
      <c r="J176" s="40">
        <f>IFERROR(_xlfn.XLOOKUP(A176,Staff_Name[Staff Member],Staff_Name[Target Band],""),"")</f>
        <v>0</v>
      </c>
      <c r="K176" s="40" t="str">
        <f t="shared" si="24"/>
        <v/>
      </c>
      <c r="L176" s="40" t="str">
        <f t="shared" si="25"/>
        <v/>
      </c>
      <c r="M176" s="40" t="str">
        <f t="shared" si="26"/>
        <v>Yes</v>
      </c>
      <c r="O176"/>
      <c r="P176"/>
      <c r="Q176"/>
      <c r="R176"/>
      <c r="S176"/>
      <c r="T176"/>
      <c r="U176"/>
    </row>
    <row r="177" spans="1:21" x14ac:dyDescent="0.25">
      <c r="A177" s="40"/>
      <c r="B177" s="40">
        <f>_xlfn.XLOOKUP(A177,Staff_Name[Staff Member],Staff_Name[FTE],"")</f>
        <v>0</v>
      </c>
      <c r="C177" s="46">
        <f t="shared" si="18"/>
        <v>0</v>
      </c>
      <c r="D177" s="46">
        <f t="shared" si="19"/>
        <v>0</v>
      </c>
      <c r="E177" s="46">
        <f t="shared" si="20"/>
        <v>0</v>
      </c>
      <c r="F177" s="46">
        <f t="shared" si="21"/>
        <v>0</v>
      </c>
      <c r="G177" s="46">
        <f t="shared" si="22"/>
        <v>0</v>
      </c>
      <c r="H177" s="47">
        <f t="shared" si="23"/>
        <v>0</v>
      </c>
      <c r="I177" s="40">
        <f>IFERROR(_xlfn.XLOOKUP(A177,Staff_Name[Staff Member],Staff_Name[Target T:R Balance],""),"")</f>
        <v>0</v>
      </c>
      <c r="J177" s="40">
        <f>IFERROR(_xlfn.XLOOKUP(A177,Staff_Name[Staff Member],Staff_Name[Target Band],""),"")</f>
        <v>0</v>
      </c>
      <c r="K177" s="40" t="str">
        <f t="shared" si="24"/>
        <v/>
      </c>
      <c r="L177" s="40" t="str">
        <f t="shared" si="25"/>
        <v/>
      </c>
      <c r="M177" s="40" t="str">
        <f t="shared" si="26"/>
        <v>Yes</v>
      </c>
      <c r="O177"/>
      <c r="P177"/>
      <c r="Q177"/>
      <c r="R177"/>
      <c r="S177"/>
      <c r="T177"/>
      <c r="U177"/>
    </row>
    <row r="178" spans="1:21" x14ac:dyDescent="0.25">
      <c r="A178" s="40"/>
      <c r="B178" s="40">
        <f>_xlfn.XLOOKUP(A178,Staff_Name[Staff Member],Staff_Name[FTE],"")</f>
        <v>0</v>
      </c>
      <c r="C178" s="46">
        <f t="shared" si="18"/>
        <v>0</v>
      </c>
      <c r="D178" s="46">
        <f t="shared" si="19"/>
        <v>0</v>
      </c>
      <c r="E178" s="46">
        <f t="shared" si="20"/>
        <v>0</v>
      </c>
      <c r="F178" s="46">
        <f t="shared" si="21"/>
        <v>0</v>
      </c>
      <c r="G178" s="46">
        <f t="shared" si="22"/>
        <v>0</v>
      </c>
      <c r="H178" s="47">
        <f t="shared" si="23"/>
        <v>0</v>
      </c>
      <c r="I178" s="40">
        <f>IFERROR(_xlfn.XLOOKUP(A178,Staff_Name[Staff Member],Staff_Name[Target T:R Balance],""),"")</f>
        <v>0</v>
      </c>
      <c r="J178" s="40">
        <f>IFERROR(_xlfn.XLOOKUP(A178,Staff_Name[Staff Member],Staff_Name[Target Band],""),"")</f>
        <v>0</v>
      </c>
      <c r="K178" s="40" t="str">
        <f t="shared" si="24"/>
        <v/>
      </c>
      <c r="L178" s="40" t="str">
        <f t="shared" si="25"/>
        <v/>
      </c>
      <c r="M178" s="40" t="str">
        <f t="shared" si="26"/>
        <v>Yes</v>
      </c>
      <c r="O178"/>
      <c r="P178"/>
      <c r="Q178"/>
      <c r="R178"/>
      <c r="S178"/>
      <c r="T178"/>
      <c r="U178"/>
    </row>
    <row r="179" spans="1:21" x14ac:dyDescent="0.25">
      <c r="A179" s="40"/>
      <c r="B179" s="40">
        <f>_xlfn.XLOOKUP(A179,Staff_Name[Staff Member],Staff_Name[FTE],"")</f>
        <v>0</v>
      </c>
      <c r="C179" s="46">
        <f t="shared" si="18"/>
        <v>0</v>
      </c>
      <c r="D179" s="46">
        <f t="shared" si="19"/>
        <v>0</v>
      </c>
      <c r="E179" s="46">
        <f t="shared" si="20"/>
        <v>0</v>
      </c>
      <c r="F179" s="46">
        <f t="shared" si="21"/>
        <v>0</v>
      </c>
      <c r="G179" s="46">
        <f t="shared" si="22"/>
        <v>0</v>
      </c>
      <c r="H179" s="47">
        <f t="shared" si="23"/>
        <v>0</v>
      </c>
      <c r="I179" s="40">
        <f>IFERROR(_xlfn.XLOOKUP(A179,Staff_Name[Staff Member],Staff_Name[Target T:R Balance],""),"")</f>
        <v>0</v>
      </c>
      <c r="J179" s="40">
        <f>IFERROR(_xlfn.XLOOKUP(A179,Staff_Name[Staff Member],Staff_Name[Target Band],""),"")</f>
        <v>0</v>
      </c>
      <c r="K179" s="40" t="str">
        <f t="shared" si="24"/>
        <v/>
      </c>
      <c r="L179" s="40" t="str">
        <f t="shared" si="25"/>
        <v/>
      </c>
      <c r="M179" s="40" t="str">
        <f t="shared" si="26"/>
        <v>Yes</v>
      </c>
      <c r="O179"/>
      <c r="P179"/>
      <c r="Q179"/>
      <c r="R179"/>
      <c r="S179"/>
      <c r="T179"/>
      <c r="U179"/>
    </row>
    <row r="180" spans="1:21" x14ac:dyDescent="0.25">
      <c r="A180" s="40"/>
      <c r="B180" s="40">
        <f>_xlfn.XLOOKUP(A180,Staff_Name[Staff Member],Staff_Name[FTE],"")</f>
        <v>0</v>
      </c>
      <c r="C180" s="46">
        <f t="shared" si="18"/>
        <v>0</v>
      </c>
      <c r="D180" s="46">
        <f t="shared" si="19"/>
        <v>0</v>
      </c>
      <c r="E180" s="46">
        <f t="shared" si="20"/>
        <v>0</v>
      </c>
      <c r="F180" s="46">
        <f t="shared" si="21"/>
        <v>0</v>
      </c>
      <c r="G180" s="46">
        <f t="shared" si="22"/>
        <v>0</v>
      </c>
      <c r="H180" s="47">
        <f t="shared" si="23"/>
        <v>0</v>
      </c>
      <c r="I180" s="40">
        <f>IFERROR(_xlfn.XLOOKUP(A180,Staff_Name[Staff Member],Staff_Name[Target T:R Balance],""),"")</f>
        <v>0</v>
      </c>
      <c r="J180" s="40">
        <f>IFERROR(_xlfn.XLOOKUP(A180,Staff_Name[Staff Member],Staff_Name[Target Band],""),"")</f>
        <v>0</v>
      </c>
      <c r="K180" s="40" t="str">
        <f t="shared" si="24"/>
        <v/>
      </c>
      <c r="L180" s="40" t="str">
        <f t="shared" si="25"/>
        <v/>
      </c>
      <c r="M180" s="40" t="str">
        <f t="shared" si="26"/>
        <v>Yes</v>
      </c>
      <c r="O180"/>
      <c r="P180"/>
      <c r="Q180"/>
      <c r="R180"/>
      <c r="S180"/>
      <c r="T180"/>
      <c r="U180"/>
    </row>
    <row r="181" spans="1:21" x14ac:dyDescent="0.25">
      <c r="A181" s="40"/>
      <c r="B181" s="40">
        <f>_xlfn.XLOOKUP(A181,Staff_Name[Staff Member],Staff_Name[FTE],"")</f>
        <v>0</v>
      </c>
      <c r="C181" s="46">
        <f t="shared" si="18"/>
        <v>0</v>
      </c>
      <c r="D181" s="46">
        <f t="shared" si="19"/>
        <v>0</v>
      </c>
      <c r="E181" s="46">
        <f t="shared" si="20"/>
        <v>0</v>
      </c>
      <c r="F181" s="46">
        <f t="shared" si="21"/>
        <v>0</v>
      </c>
      <c r="G181" s="46">
        <f t="shared" si="22"/>
        <v>0</v>
      </c>
      <c r="H181" s="47">
        <f t="shared" si="23"/>
        <v>0</v>
      </c>
      <c r="I181" s="40">
        <f>IFERROR(_xlfn.XLOOKUP(A181,Staff_Name[Staff Member],Staff_Name[Target T:R Balance],""),"")</f>
        <v>0</v>
      </c>
      <c r="J181" s="40">
        <f>IFERROR(_xlfn.XLOOKUP(A181,Staff_Name[Staff Member],Staff_Name[Target Band],""),"")</f>
        <v>0</v>
      </c>
      <c r="K181" s="40" t="str">
        <f t="shared" si="24"/>
        <v/>
      </c>
      <c r="L181" s="40" t="str">
        <f t="shared" si="25"/>
        <v/>
      </c>
      <c r="M181" s="40" t="str">
        <f t="shared" si="26"/>
        <v>Yes</v>
      </c>
      <c r="O181"/>
      <c r="P181"/>
      <c r="Q181"/>
      <c r="R181"/>
      <c r="S181"/>
      <c r="T181"/>
      <c r="U181"/>
    </row>
    <row r="182" spans="1:21" x14ac:dyDescent="0.25">
      <c r="A182" s="40"/>
      <c r="B182" s="40">
        <f>_xlfn.XLOOKUP(A182,Staff_Name[Staff Member],Staff_Name[FTE],"")</f>
        <v>0</v>
      </c>
      <c r="C182" s="46">
        <f t="shared" si="18"/>
        <v>0</v>
      </c>
      <c r="D182" s="46">
        <f t="shared" si="19"/>
        <v>0</v>
      </c>
      <c r="E182" s="46">
        <f t="shared" si="20"/>
        <v>0</v>
      </c>
      <c r="F182" s="46">
        <f t="shared" si="21"/>
        <v>0</v>
      </c>
      <c r="G182" s="46">
        <f t="shared" si="22"/>
        <v>0</v>
      </c>
      <c r="H182" s="47">
        <f t="shared" si="23"/>
        <v>0</v>
      </c>
      <c r="I182" s="40">
        <f>IFERROR(_xlfn.XLOOKUP(A182,Staff_Name[Staff Member],Staff_Name[Target T:R Balance],""),"")</f>
        <v>0</v>
      </c>
      <c r="J182" s="40">
        <f>IFERROR(_xlfn.XLOOKUP(A182,Staff_Name[Staff Member],Staff_Name[Target Band],""),"")</f>
        <v>0</v>
      </c>
      <c r="K182" s="40" t="str">
        <f t="shared" si="24"/>
        <v/>
      </c>
      <c r="L182" s="40" t="str">
        <f t="shared" si="25"/>
        <v/>
      </c>
      <c r="M182" s="40" t="str">
        <f t="shared" si="26"/>
        <v>Yes</v>
      </c>
      <c r="O182"/>
      <c r="P182"/>
      <c r="Q182"/>
      <c r="R182"/>
      <c r="S182"/>
      <c r="T182"/>
      <c r="U182"/>
    </row>
    <row r="183" spans="1:21" x14ac:dyDescent="0.25">
      <c r="A183" s="40"/>
      <c r="B183" s="40">
        <f>_xlfn.XLOOKUP(A183,Staff_Name[Staff Member],Staff_Name[FTE],"")</f>
        <v>0</v>
      </c>
      <c r="C183" s="46">
        <f t="shared" si="18"/>
        <v>0</v>
      </c>
      <c r="D183" s="46">
        <f t="shared" si="19"/>
        <v>0</v>
      </c>
      <c r="E183" s="46">
        <f t="shared" si="20"/>
        <v>0</v>
      </c>
      <c r="F183" s="46">
        <f t="shared" si="21"/>
        <v>0</v>
      </c>
      <c r="G183" s="46">
        <f t="shared" si="22"/>
        <v>0</v>
      </c>
      <c r="H183" s="47">
        <f t="shared" si="23"/>
        <v>0</v>
      </c>
      <c r="I183" s="40">
        <f>IFERROR(_xlfn.XLOOKUP(A183,Staff_Name[Staff Member],Staff_Name[Target T:R Balance],""),"")</f>
        <v>0</v>
      </c>
      <c r="J183" s="40">
        <f>IFERROR(_xlfn.XLOOKUP(A183,Staff_Name[Staff Member],Staff_Name[Target Band],""),"")</f>
        <v>0</v>
      </c>
      <c r="K183" s="40" t="str">
        <f t="shared" si="24"/>
        <v/>
      </c>
      <c r="L183" s="40" t="str">
        <f t="shared" si="25"/>
        <v/>
      </c>
      <c r="M183" s="40" t="str">
        <f t="shared" si="26"/>
        <v>Yes</v>
      </c>
      <c r="O183"/>
      <c r="P183"/>
      <c r="Q183"/>
      <c r="R183"/>
      <c r="S183"/>
      <c r="T183"/>
      <c r="U183"/>
    </row>
    <row r="184" spans="1:21" x14ac:dyDescent="0.25">
      <c r="A184" s="40"/>
      <c r="B184" s="40">
        <f>_xlfn.XLOOKUP(A184,Staff_Name[Staff Member],Staff_Name[FTE],"")</f>
        <v>0</v>
      </c>
      <c r="C184" s="46">
        <f t="shared" si="18"/>
        <v>0</v>
      </c>
      <c r="D184" s="46">
        <f t="shared" si="19"/>
        <v>0</v>
      </c>
      <c r="E184" s="46">
        <f t="shared" si="20"/>
        <v>0</v>
      </c>
      <c r="F184" s="46">
        <f t="shared" si="21"/>
        <v>0</v>
      </c>
      <c r="G184" s="46">
        <f t="shared" si="22"/>
        <v>0</v>
      </c>
      <c r="H184" s="47">
        <f t="shared" si="23"/>
        <v>0</v>
      </c>
      <c r="I184" s="40">
        <f>IFERROR(_xlfn.XLOOKUP(A184,Staff_Name[Staff Member],Staff_Name[Target T:R Balance],""),"")</f>
        <v>0</v>
      </c>
      <c r="J184" s="40">
        <f>IFERROR(_xlfn.XLOOKUP(A184,Staff_Name[Staff Member],Staff_Name[Target Band],""),"")</f>
        <v>0</v>
      </c>
      <c r="K184" s="40" t="str">
        <f t="shared" si="24"/>
        <v/>
      </c>
      <c r="L184" s="40" t="str">
        <f t="shared" si="25"/>
        <v/>
      </c>
      <c r="M184" s="40" t="str">
        <f t="shared" si="26"/>
        <v>Yes</v>
      </c>
      <c r="O184"/>
      <c r="P184"/>
      <c r="Q184"/>
      <c r="R184"/>
      <c r="S184"/>
      <c r="T184"/>
      <c r="U184"/>
    </row>
    <row r="185" spans="1:21" x14ac:dyDescent="0.25">
      <c r="A185" s="40"/>
      <c r="B185" s="40">
        <f>_xlfn.XLOOKUP(A185,Staff_Name[Staff Member],Staff_Name[FTE],"")</f>
        <v>0</v>
      </c>
      <c r="C185" s="46">
        <f t="shared" si="18"/>
        <v>0</v>
      </c>
      <c r="D185" s="46">
        <f t="shared" si="19"/>
        <v>0</v>
      </c>
      <c r="E185" s="46">
        <f t="shared" si="20"/>
        <v>0</v>
      </c>
      <c r="F185" s="46">
        <f t="shared" si="21"/>
        <v>0</v>
      </c>
      <c r="G185" s="46">
        <f t="shared" si="22"/>
        <v>0</v>
      </c>
      <c r="H185" s="47">
        <f t="shared" si="23"/>
        <v>0</v>
      </c>
      <c r="I185" s="40">
        <f>IFERROR(_xlfn.XLOOKUP(A185,Staff_Name[Staff Member],Staff_Name[Target T:R Balance],""),"")</f>
        <v>0</v>
      </c>
      <c r="J185" s="40">
        <f>IFERROR(_xlfn.XLOOKUP(A185,Staff_Name[Staff Member],Staff_Name[Target Band],""),"")</f>
        <v>0</v>
      </c>
      <c r="K185" s="40" t="str">
        <f t="shared" si="24"/>
        <v/>
      </c>
      <c r="L185" s="40" t="str">
        <f t="shared" si="25"/>
        <v/>
      </c>
      <c r="M185" s="40" t="str">
        <f t="shared" si="26"/>
        <v>Yes</v>
      </c>
      <c r="O185"/>
      <c r="P185"/>
      <c r="Q185"/>
      <c r="R185"/>
      <c r="S185"/>
      <c r="T185"/>
      <c r="U185"/>
    </row>
    <row r="186" spans="1:21" x14ac:dyDescent="0.25">
      <c r="A186" s="40"/>
      <c r="B186" s="40">
        <f>_xlfn.XLOOKUP(A186,Staff_Name[Staff Member],Staff_Name[FTE],"")</f>
        <v>0</v>
      </c>
      <c r="C186" s="46">
        <f t="shared" si="18"/>
        <v>0</v>
      </c>
      <c r="D186" s="46">
        <f t="shared" si="19"/>
        <v>0</v>
      </c>
      <c r="E186" s="46">
        <f t="shared" si="20"/>
        <v>0</v>
      </c>
      <c r="F186" s="46">
        <f t="shared" si="21"/>
        <v>0</v>
      </c>
      <c r="G186" s="46">
        <f t="shared" si="22"/>
        <v>0</v>
      </c>
      <c r="H186" s="47">
        <f t="shared" si="23"/>
        <v>0</v>
      </c>
      <c r="I186" s="40">
        <f>IFERROR(_xlfn.XLOOKUP(A186,Staff_Name[Staff Member],Staff_Name[Target T:R Balance],""),"")</f>
        <v>0</v>
      </c>
      <c r="J186" s="40">
        <f>IFERROR(_xlfn.XLOOKUP(A186,Staff_Name[Staff Member],Staff_Name[Target Band],""),"")</f>
        <v>0</v>
      </c>
      <c r="K186" s="40" t="str">
        <f t="shared" si="24"/>
        <v/>
      </c>
      <c r="L186" s="40" t="str">
        <f t="shared" si="25"/>
        <v/>
      </c>
      <c r="M186" s="40" t="str">
        <f t="shared" si="26"/>
        <v>Yes</v>
      </c>
      <c r="O186"/>
      <c r="P186"/>
      <c r="Q186"/>
      <c r="R186"/>
      <c r="S186"/>
      <c r="T186"/>
      <c r="U186"/>
    </row>
    <row r="187" spans="1:21" x14ac:dyDescent="0.25">
      <c r="A187" s="40"/>
      <c r="B187" s="40">
        <f>_xlfn.XLOOKUP(A187,Staff_Name[Staff Member],Staff_Name[FTE],"")</f>
        <v>0</v>
      </c>
      <c r="C187" s="46">
        <f t="shared" si="18"/>
        <v>0</v>
      </c>
      <c r="D187" s="46">
        <f t="shared" si="19"/>
        <v>0</v>
      </c>
      <c r="E187" s="46">
        <f t="shared" si="20"/>
        <v>0</v>
      </c>
      <c r="F187" s="46">
        <f t="shared" si="21"/>
        <v>0</v>
      </c>
      <c r="G187" s="46">
        <f t="shared" si="22"/>
        <v>0</v>
      </c>
      <c r="H187" s="47">
        <f t="shared" si="23"/>
        <v>0</v>
      </c>
      <c r="I187" s="40">
        <f>IFERROR(_xlfn.XLOOKUP(A187,Staff_Name[Staff Member],Staff_Name[Target T:R Balance],""),"")</f>
        <v>0</v>
      </c>
      <c r="J187" s="40">
        <f>IFERROR(_xlfn.XLOOKUP(A187,Staff_Name[Staff Member],Staff_Name[Target Band],""),"")</f>
        <v>0</v>
      </c>
      <c r="K187" s="40" t="str">
        <f t="shared" si="24"/>
        <v/>
      </c>
      <c r="L187" s="40" t="str">
        <f t="shared" si="25"/>
        <v/>
      </c>
      <c r="M187" s="40" t="str">
        <f t="shared" si="26"/>
        <v>Yes</v>
      </c>
      <c r="O187"/>
      <c r="P187"/>
      <c r="Q187"/>
      <c r="R187"/>
      <c r="S187"/>
      <c r="T187"/>
      <c r="U187"/>
    </row>
    <row r="188" spans="1:21" x14ac:dyDescent="0.25">
      <c r="A188" s="40"/>
      <c r="B188" s="40">
        <f>_xlfn.XLOOKUP(A188,Staff_Name[Staff Member],Staff_Name[FTE],"")</f>
        <v>0</v>
      </c>
      <c r="C188" s="46">
        <f t="shared" si="18"/>
        <v>0</v>
      </c>
      <c r="D188" s="46">
        <f t="shared" si="19"/>
        <v>0</v>
      </c>
      <c r="E188" s="46">
        <f t="shared" si="20"/>
        <v>0</v>
      </c>
      <c r="F188" s="46">
        <f t="shared" si="21"/>
        <v>0</v>
      </c>
      <c r="G188" s="46">
        <f t="shared" si="22"/>
        <v>0</v>
      </c>
      <c r="H188" s="47">
        <f t="shared" si="23"/>
        <v>0</v>
      </c>
      <c r="I188" s="40">
        <f>IFERROR(_xlfn.XLOOKUP(A188,Staff_Name[Staff Member],Staff_Name[Target T:R Balance],""),"")</f>
        <v>0</v>
      </c>
      <c r="J188" s="40">
        <f>IFERROR(_xlfn.XLOOKUP(A188,Staff_Name[Staff Member],Staff_Name[Target Band],""),"")</f>
        <v>0</v>
      </c>
      <c r="K188" s="40" t="str">
        <f t="shared" si="24"/>
        <v/>
      </c>
      <c r="L188" s="40" t="str">
        <f t="shared" si="25"/>
        <v/>
      </c>
      <c r="M188" s="40" t="str">
        <f t="shared" si="26"/>
        <v>Yes</v>
      </c>
      <c r="O188"/>
      <c r="P188"/>
      <c r="Q188"/>
      <c r="R188"/>
      <c r="S188"/>
      <c r="T188"/>
      <c r="U188"/>
    </row>
    <row r="189" spans="1:21" x14ac:dyDescent="0.25">
      <c r="A189" s="40"/>
      <c r="B189" s="40">
        <f>_xlfn.XLOOKUP(A189,Staff_Name[Staff Member],Staff_Name[FTE],"")</f>
        <v>0</v>
      </c>
      <c r="C189" s="46">
        <f t="shared" si="18"/>
        <v>0</v>
      </c>
      <c r="D189" s="46">
        <f t="shared" si="19"/>
        <v>0</v>
      </c>
      <c r="E189" s="46">
        <f t="shared" si="20"/>
        <v>0</v>
      </c>
      <c r="F189" s="46">
        <f t="shared" si="21"/>
        <v>0</v>
      </c>
      <c r="G189" s="46">
        <f t="shared" si="22"/>
        <v>0</v>
      </c>
      <c r="H189" s="47">
        <f t="shared" si="23"/>
        <v>0</v>
      </c>
      <c r="I189" s="40">
        <f>IFERROR(_xlfn.XLOOKUP(A189,Staff_Name[Staff Member],Staff_Name[Target T:R Balance],""),"")</f>
        <v>0</v>
      </c>
      <c r="J189" s="40">
        <f>IFERROR(_xlfn.XLOOKUP(A189,Staff_Name[Staff Member],Staff_Name[Target Band],""),"")</f>
        <v>0</v>
      </c>
      <c r="K189" s="40" t="str">
        <f t="shared" si="24"/>
        <v/>
      </c>
      <c r="L189" s="40" t="str">
        <f t="shared" si="25"/>
        <v/>
      </c>
      <c r="M189" s="40" t="str">
        <f t="shared" si="26"/>
        <v>Yes</v>
      </c>
      <c r="O189"/>
      <c r="P189"/>
      <c r="Q189"/>
      <c r="R189"/>
      <c r="S189"/>
      <c r="T189"/>
      <c r="U189"/>
    </row>
    <row r="190" spans="1:21" x14ac:dyDescent="0.25">
      <c r="A190" s="40"/>
      <c r="B190" s="40">
        <f>_xlfn.XLOOKUP(A190,Staff_Name[Staff Member],Staff_Name[FTE],"")</f>
        <v>0</v>
      </c>
      <c r="C190" s="46">
        <f t="shared" si="18"/>
        <v>0</v>
      </c>
      <c r="D190" s="46">
        <f t="shared" si="19"/>
        <v>0</v>
      </c>
      <c r="E190" s="46">
        <f t="shared" si="20"/>
        <v>0</v>
      </c>
      <c r="F190" s="46">
        <f t="shared" si="21"/>
        <v>0</v>
      </c>
      <c r="G190" s="46">
        <f t="shared" si="22"/>
        <v>0</v>
      </c>
      <c r="H190" s="47">
        <f t="shared" si="23"/>
        <v>0</v>
      </c>
      <c r="I190" s="40">
        <f>IFERROR(_xlfn.XLOOKUP(A190,Staff_Name[Staff Member],Staff_Name[Target T:R Balance],""),"")</f>
        <v>0</v>
      </c>
      <c r="J190" s="40">
        <f>IFERROR(_xlfn.XLOOKUP(A190,Staff_Name[Staff Member],Staff_Name[Target Band],""),"")</f>
        <v>0</v>
      </c>
      <c r="K190" s="40" t="str">
        <f t="shared" si="24"/>
        <v/>
      </c>
      <c r="L190" s="40" t="str">
        <f t="shared" si="25"/>
        <v/>
      </c>
      <c r="M190" s="40" t="str">
        <f t="shared" si="26"/>
        <v>Yes</v>
      </c>
      <c r="O190"/>
      <c r="P190"/>
      <c r="Q190"/>
      <c r="R190"/>
      <c r="S190"/>
      <c r="T190"/>
      <c r="U190"/>
    </row>
    <row r="191" spans="1:21" x14ac:dyDescent="0.25">
      <c r="A191" s="40"/>
      <c r="B191" s="40">
        <f>_xlfn.XLOOKUP(A191,Staff_Name[Staff Member],Staff_Name[FTE],"")</f>
        <v>0</v>
      </c>
      <c r="C191" s="46">
        <f t="shared" si="18"/>
        <v>0</v>
      </c>
      <c r="D191" s="46">
        <f t="shared" si="19"/>
        <v>0</v>
      </c>
      <c r="E191" s="46">
        <f t="shared" si="20"/>
        <v>0</v>
      </c>
      <c r="F191" s="46">
        <f t="shared" si="21"/>
        <v>0</v>
      </c>
      <c r="G191" s="46">
        <f t="shared" si="22"/>
        <v>0</v>
      </c>
      <c r="H191" s="47">
        <f t="shared" si="23"/>
        <v>0</v>
      </c>
      <c r="I191" s="40">
        <f>IFERROR(_xlfn.XLOOKUP(A191,Staff_Name[Staff Member],Staff_Name[Target T:R Balance],""),"")</f>
        <v>0</v>
      </c>
      <c r="J191" s="40">
        <f>IFERROR(_xlfn.XLOOKUP(A191,Staff_Name[Staff Member],Staff_Name[Target Band],""),"")</f>
        <v>0</v>
      </c>
      <c r="K191" s="40" t="str">
        <f t="shared" si="24"/>
        <v/>
      </c>
      <c r="L191" s="40" t="str">
        <f t="shared" si="25"/>
        <v/>
      </c>
      <c r="M191" s="40" t="str">
        <f t="shared" si="26"/>
        <v>Yes</v>
      </c>
      <c r="O191"/>
      <c r="P191"/>
      <c r="Q191"/>
      <c r="R191"/>
      <c r="S191"/>
      <c r="T191"/>
      <c r="U191"/>
    </row>
    <row r="192" spans="1:21" x14ac:dyDescent="0.25">
      <c r="A192" s="40"/>
      <c r="B192" s="40">
        <f>_xlfn.XLOOKUP(A192,Staff_Name[Staff Member],Staff_Name[FTE],"")</f>
        <v>0</v>
      </c>
      <c r="C192" s="46">
        <f t="shared" si="18"/>
        <v>0</v>
      </c>
      <c r="D192" s="46">
        <f t="shared" si="19"/>
        <v>0</v>
      </c>
      <c r="E192" s="46">
        <f t="shared" si="20"/>
        <v>0</v>
      </c>
      <c r="F192" s="46">
        <f t="shared" si="21"/>
        <v>0</v>
      </c>
      <c r="G192" s="46">
        <f t="shared" si="22"/>
        <v>0</v>
      </c>
      <c r="H192" s="47">
        <f t="shared" si="23"/>
        <v>0</v>
      </c>
      <c r="I192" s="40">
        <f>IFERROR(_xlfn.XLOOKUP(A192,Staff_Name[Staff Member],Staff_Name[Target T:R Balance],""),"")</f>
        <v>0</v>
      </c>
      <c r="J192" s="40">
        <f>IFERROR(_xlfn.XLOOKUP(A192,Staff_Name[Staff Member],Staff_Name[Target Band],""),"")</f>
        <v>0</v>
      </c>
      <c r="K192" s="40" t="str">
        <f t="shared" si="24"/>
        <v/>
      </c>
      <c r="L192" s="40" t="str">
        <f t="shared" si="25"/>
        <v/>
      </c>
      <c r="M192" s="40" t="str">
        <f t="shared" si="26"/>
        <v>Yes</v>
      </c>
      <c r="O192"/>
      <c r="P192"/>
      <c r="Q192"/>
      <c r="R192"/>
      <c r="S192"/>
      <c r="T192"/>
      <c r="U192"/>
    </row>
    <row r="193" spans="1:21" x14ac:dyDescent="0.25">
      <c r="A193" s="40"/>
      <c r="B193" s="40">
        <f>_xlfn.XLOOKUP(A193,Staff_Name[Staff Member],Staff_Name[FTE],"")</f>
        <v>0</v>
      </c>
      <c r="C193" s="46">
        <f t="shared" si="18"/>
        <v>0</v>
      </c>
      <c r="D193" s="46">
        <f t="shared" si="19"/>
        <v>0</v>
      </c>
      <c r="E193" s="46">
        <f t="shared" si="20"/>
        <v>0</v>
      </c>
      <c r="F193" s="46">
        <f t="shared" si="21"/>
        <v>0</v>
      </c>
      <c r="G193" s="46">
        <f t="shared" si="22"/>
        <v>0</v>
      </c>
      <c r="H193" s="47">
        <f t="shared" si="23"/>
        <v>0</v>
      </c>
      <c r="I193" s="40">
        <f>IFERROR(_xlfn.XLOOKUP(A193,Staff_Name[Staff Member],Staff_Name[Target T:R Balance],""),"")</f>
        <v>0</v>
      </c>
      <c r="J193" s="40">
        <f>IFERROR(_xlfn.XLOOKUP(A193,Staff_Name[Staff Member],Staff_Name[Target Band],""),"")</f>
        <v>0</v>
      </c>
      <c r="K193" s="40" t="str">
        <f t="shared" si="24"/>
        <v/>
      </c>
      <c r="L193" s="40" t="str">
        <f t="shared" si="25"/>
        <v/>
      </c>
      <c r="M193" s="40" t="str">
        <f t="shared" si="26"/>
        <v>Yes</v>
      </c>
      <c r="O193"/>
      <c r="P193"/>
      <c r="Q193"/>
      <c r="R193"/>
      <c r="S193"/>
      <c r="T193"/>
      <c r="U193"/>
    </row>
    <row r="194" spans="1:21" x14ac:dyDescent="0.25">
      <c r="A194" s="40"/>
      <c r="B194" s="40">
        <f>_xlfn.XLOOKUP(A194,Staff_Name[Staff Member],Staff_Name[FTE],"")</f>
        <v>0</v>
      </c>
      <c r="C194" s="46">
        <f t="shared" si="18"/>
        <v>0</v>
      </c>
      <c r="D194" s="46">
        <f t="shared" si="19"/>
        <v>0</v>
      </c>
      <c r="E194" s="46">
        <f t="shared" si="20"/>
        <v>0</v>
      </c>
      <c r="F194" s="46">
        <f t="shared" si="21"/>
        <v>0</v>
      </c>
      <c r="G194" s="46">
        <f t="shared" si="22"/>
        <v>0</v>
      </c>
      <c r="H194" s="47">
        <f t="shared" si="23"/>
        <v>0</v>
      </c>
      <c r="I194" s="40">
        <f>IFERROR(_xlfn.XLOOKUP(A194,Staff_Name[Staff Member],Staff_Name[Target T:R Balance],""),"")</f>
        <v>0</v>
      </c>
      <c r="J194" s="40">
        <f>IFERROR(_xlfn.XLOOKUP(A194,Staff_Name[Staff Member],Staff_Name[Target Band],""),"")</f>
        <v>0</v>
      </c>
      <c r="K194" s="40" t="str">
        <f t="shared" si="24"/>
        <v/>
      </c>
      <c r="L194" s="40" t="str">
        <f t="shared" si="25"/>
        <v/>
      </c>
      <c r="M194" s="40" t="str">
        <f t="shared" si="26"/>
        <v>Yes</v>
      </c>
      <c r="O194"/>
      <c r="P194"/>
      <c r="Q194"/>
      <c r="R194"/>
      <c r="S194"/>
      <c r="T194"/>
      <c r="U194"/>
    </row>
    <row r="195" spans="1:21" x14ac:dyDescent="0.25">
      <c r="A195" s="40"/>
      <c r="B195" s="40">
        <f>_xlfn.XLOOKUP(A195,Staff_Name[Staff Member],Staff_Name[FTE],"")</f>
        <v>0</v>
      </c>
      <c r="C195" s="46">
        <f t="shared" si="18"/>
        <v>0</v>
      </c>
      <c r="D195" s="46">
        <f t="shared" si="19"/>
        <v>0</v>
      </c>
      <c r="E195" s="46">
        <f t="shared" si="20"/>
        <v>0</v>
      </c>
      <c r="F195" s="46">
        <f t="shared" si="21"/>
        <v>0</v>
      </c>
      <c r="G195" s="46">
        <f t="shared" si="22"/>
        <v>0</v>
      </c>
      <c r="H195" s="47">
        <f t="shared" si="23"/>
        <v>0</v>
      </c>
      <c r="I195" s="40">
        <f>IFERROR(_xlfn.XLOOKUP(A195,Staff_Name[Staff Member],Staff_Name[Target T:R Balance],""),"")</f>
        <v>0</v>
      </c>
      <c r="J195" s="40">
        <f>IFERROR(_xlfn.XLOOKUP(A195,Staff_Name[Staff Member],Staff_Name[Target Band],""),"")</f>
        <v>0</v>
      </c>
      <c r="K195" s="40" t="str">
        <f t="shared" si="24"/>
        <v/>
      </c>
      <c r="L195" s="40" t="str">
        <f t="shared" si="25"/>
        <v/>
      </c>
      <c r="M195" s="40" t="str">
        <f t="shared" si="26"/>
        <v>Yes</v>
      </c>
      <c r="O195"/>
      <c r="P195"/>
      <c r="Q195"/>
      <c r="R195"/>
      <c r="S195"/>
      <c r="T195"/>
      <c r="U195"/>
    </row>
    <row r="196" spans="1:21" x14ac:dyDescent="0.25">
      <c r="A196" s="40"/>
      <c r="B196" s="40">
        <f>_xlfn.XLOOKUP(A196,Staff_Name[Staff Member],Staff_Name[FTE],"")</f>
        <v>0</v>
      </c>
      <c r="C196" s="46">
        <f t="shared" ref="C196:C200" si="27">_xlfn.XLOOKUP(A196,O:O,Q:Q,0)</f>
        <v>0</v>
      </c>
      <c r="D196" s="46">
        <f t="shared" ref="D196:D200" si="28">_xlfn.XLOOKUP(A196,W:W,Y:Y,0)</f>
        <v>0</v>
      </c>
      <c r="E196" s="46">
        <f t="shared" ref="E196:E200" si="29">_xlfn.XLOOKUP(A196,W:W,X:X,0)</f>
        <v>0</v>
      </c>
      <c r="F196" s="46">
        <f t="shared" ref="F196:F200" si="30">_xlfn.XLOOKUP(A196,AA:AA,AB:AB,0)</f>
        <v>0</v>
      </c>
      <c r="G196" s="46">
        <f t="shared" ref="G196:G200" si="31">IFERROR((B196*100)-(SUM(C196:F196)),0)</f>
        <v>0</v>
      </c>
      <c r="H196" s="47">
        <f t="shared" ref="H196:H200" si="32">IFERROR(SUM(C196:G196),"")</f>
        <v>0</v>
      </c>
      <c r="I196" s="40">
        <f>IFERROR(_xlfn.XLOOKUP(A196,Staff_Name[Staff Member],Staff_Name[Target T:R Balance],""),"")</f>
        <v>0</v>
      </c>
      <c r="J196" s="40">
        <f>IFERROR(_xlfn.XLOOKUP(A196,Staff_Name[Staff Member],Staff_Name[Target Band],""),"")</f>
        <v>0</v>
      </c>
      <c r="K196" s="40" t="str">
        <f t="shared" ref="K196:K200" si="33">IFERROR(ROUND(C196/(C196+G196),2),"")</f>
        <v/>
      </c>
      <c r="L196" s="40" t="str">
        <f t="shared" ref="L196:L200" si="34">IF(K196&lt;=0.2,"Research Focused",IF(K196&lt;=0.79,"Balanced Teaching &amp; Research",IF(K196&lt;=1,"Teaching Focused","")))</f>
        <v/>
      </c>
      <c r="M196" s="40" t="str">
        <f t="shared" ref="M196:M200" si="35">IF(J196=L196,"No","Yes")</f>
        <v>Yes</v>
      </c>
      <c r="O196"/>
      <c r="P196"/>
      <c r="Q196"/>
      <c r="R196"/>
      <c r="S196"/>
      <c r="T196"/>
      <c r="U196"/>
    </row>
    <row r="197" spans="1:21" x14ac:dyDescent="0.25">
      <c r="A197" s="40"/>
      <c r="B197" s="40">
        <f>_xlfn.XLOOKUP(A197,Staff_Name[Staff Member],Staff_Name[FTE],"")</f>
        <v>0</v>
      </c>
      <c r="C197" s="46">
        <f t="shared" si="27"/>
        <v>0</v>
      </c>
      <c r="D197" s="46">
        <f t="shared" si="28"/>
        <v>0</v>
      </c>
      <c r="E197" s="46">
        <f t="shared" si="29"/>
        <v>0</v>
      </c>
      <c r="F197" s="46">
        <f t="shared" si="30"/>
        <v>0</v>
      </c>
      <c r="G197" s="46">
        <f t="shared" si="31"/>
        <v>0</v>
      </c>
      <c r="H197" s="47">
        <f t="shared" si="32"/>
        <v>0</v>
      </c>
      <c r="I197" s="40">
        <f>IFERROR(_xlfn.XLOOKUP(A197,Staff_Name[Staff Member],Staff_Name[Target T:R Balance],""),"")</f>
        <v>0</v>
      </c>
      <c r="J197" s="40">
        <f>IFERROR(_xlfn.XLOOKUP(A197,Staff_Name[Staff Member],Staff_Name[Target Band],""),"")</f>
        <v>0</v>
      </c>
      <c r="K197" s="40" t="str">
        <f t="shared" si="33"/>
        <v/>
      </c>
      <c r="L197" s="40" t="str">
        <f t="shared" si="34"/>
        <v/>
      </c>
      <c r="M197" s="40" t="str">
        <f t="shared" si="35"/>
        <v>Yes</v>
      </c>
      <c r="O197"/>
      <c r="P197"/>
      <c r="Q197"/>
      <c r="R197"/>
      <c r="S197"/>
      <c r="T197"/>
      <c r="U197"/>
    </row>
    <row r="198" spans="1:21" x14ac:dyDescent="0.25">
      <c r="A198" s="40"/>
      <c r="B198" s="40">
        <f>_xlfn.XLOOKUP(A198,Staff_Name[Staff Member],Staff_Name[FTE],"")</f>
        <v>0</v>
      </c>
      <c r="C198" s="46">
        <f t="shared" si="27"/>
        <v>0</v>
      </c>
      <c r="D198" s="46">
        <f t="shared" si="28"/>
        <v>0</v>
      </c>
      <c r="E198" s="46">
        <f t="shared" si="29"/>
        <v>0</v>
      </c>
      <c r="F198" s="46">
        <f t="shared" si="30"/>
        <v>0</v>
      </c>
      <c r="G198" s="46">
        <f t="shared" si="31"/>
        <v>0</v>
      </c>
      <c r="H198" s="47">
        <f t="shared" si="32"/>
        <v>0</v>
      </c>
      <c r="I198" s="40">
        <f>IFERROR(_xlfn.XLOOKUP(A198,Staff_Name[Staff Member],Staff_Name[Target T:R Balance],""),"")</f>
        <v>0</v>
      </c>
      <c r="J198" s="40">
        <f>IFERROR(_xlfn.XLOOKUP(A198,Staff_Name[Staff Member],Staff_Name[Target Band],""),"")</f>
        <v>0</v>
      </c>
      <c r="K198" s="40" t="str">
        <f t="shared" si="33"/>
        <v/>
      </c>
      <c r="L198" s="40" t="str">
        <f t="shared" si="34"/>
        <v/>
      </c>
      <c r="M198" s="40" t="str">
        <f t="shared" si="35"/>
        <v>Yes</v>
      </c>
      <c r="O198"/>
      <c r="P198"/>
      <c r="Q198"/>
      <c r="R198"/>
      <c r="S198"/>
      <c r="T198"/>
      <c r="U198"/>
    </row>
    <row r="199" spans="1:21" x14ac:dyDescent="0.25">
      <c r="A199" s="40"/>
      <c r="B199" s="40">
        <f>_xlfn.XLOOKUP(A199,Staff_Name[Staff Member],Staff_Name[FTE],"")</f>
        <v>0</v>
      </c>
      <c r="C199" s="46">
        <f t="shared" si="27"/>
        <v>0</v>
      </c>
      <c r="D199" s="46">
        <f t="shared" si="28"/>
        <v>0</v>
      </c>
      <c r="E199" s="46">
        <f t="shared" si="29"/>
        <v>0</v>
      </c>
      <c r="F199" s="46">
        <f t="shared" si="30"/>
        <v>0</v>
      </c>
      <c r="G199" s="46">
        <f t="shared" si="31"/>
        <v>0</v>
      </c>
      <c r="H199" s="47">
        <f t="shared" si="32"/>
        <v>0</v>
      </c>
      <c r="I199" s="40">
        <f>IFERROR(_xlfn.XLOOKUP(A199,Staff_Name[Staff Member],Staff_Name[Target T:R Balance],""),"")</f>
        <v>0</v>
      </c>
      <c r="J199" s="40">
        <f>IFERROR(_xlfn.XLOOKUP(A199,Staff_Name[Staff Member],Staff_Name[Target Band],""),"")</f>
        <v>0</v>
      </c>
      <c r="K199" s="40" t="str">
        <f t="shared" si="33"/>
        <v/>
      </c>
      <c r="L199" s="40" t="str">
        <f t="shared" si="34"/>
        <v/>
      </c>
      <c r="M199" s="40" t="str">
        <f t="shared" si="35"/>
        <v>Yes</v>
      </c>
      <c r="O199"/>
      <c r="P199"/>
      <c r="Q199"/>
      <c r="R199"/>
      <c r="S199"/>
      <c r="T199"/>
      <c r="U199"/>
    </row>
    <row r="200" spans="1:21" s="50" customFormat="1" ht="15.75" thickBot="1" x14ac:dyDescent="0.3">
      <c r="A200" s="41"/>
      <c r="B200" s="41">
        <f>_xlfn.XLOOKUP(A200,Staff_Name[Staff Member],Staff_Name[FTE],"")</f>
        <v>0</v>
      </c>
      <c r="C200" s="103">
        <f t="shared" si="27"/>
        <v>0</v>
      </c>
      <c r="D200" s="103">
        <f t="shared" si="28"/>
        <v>0</v>
      </c>
      <c r="E200" s="103">
        <f t="shared" si="29"/>
        <v>0</v>
      </c>
      <c r="F200" s="103">
        <f t="shared" si="30"/>
        <v>0</v>
      </c>
      <c r="G200" s="103">
        <f t="shared" si="31"/>
        <v>0</v>
      </c>
      <c r="H200" s="48">
        <f t="shared" si="32"/>
        <v>0</v>
      </c>
      <c r="I200" s="40">
        <f>IFERROR(_xlfn.XLOOKUP(A200,Staff_Name[Staff Member],Staff_Name[Target T:R Balance],""),"")</f>
        <v>0</v>
      </c>
      <c r="J200" s="40">
        <f>IFERROR(_xlfn.XLOOKUP(A200,Staff_Name[Staff Member],Staff_Name[Target Band],""),"")</f>
        <v>0</v>
      </c>
      <c r="K200" s="41" t="str">
        <f t="shared" si="33"/>
        <v/>
      </c>
      <c r="L200" s="41" t="str">
        <f t="shared" si="34"/>
        <v/>
      </c>
      <c r="M200" s="41" t="str">
        <f t="shared" si="35"/>
        <v>Yes</v>
      </c>
      <c r="O200"/>
      <c r="P200"/>
      <c r="Q200"/>
      <c r="R200"/>
      <c r="S200"/>
      <c r="T200"/>
      <c r="U200"/>
    </row>
    <row r="201" spans="1:21" x14ac:dyDescent="0.25">
      <c r="O201"/>
      <c r="P201"/>
      <c r="Q201"/>
      <c r="R201"/>
      <c r="S201"/>
      <c r="T201"/>
      <c r="U201"/>
    </row>
    <row r="202" spans="1:21" x14ac:dyDescent="0.25">
      <c r="O202"/>
      <c r="P202"/>
      <c r="Q202"/>
      <c r="R202"/>
      <c r="S202"/>
      <c r="T202"/>
      <c r="U202"/>
    </row>
    <row r="203" spans="1:21" x14ac:dyDescent="0.25">
      <c r="O203"/>
      <c r="P203"/>
      <c r="Q203"/>
      <c r="R203"/>
      <c r="S203"/>
      <c r="T203"/>
      <c r="U203"/>
    </row>
    <row r="204" spans="1:21" x14ac:dyDescent="0.25">
      <c r="O204"/>
      <c r="P204"/>
      <c r="Q204"/>
      <c r="R204"/>
      <c r="S204"/>
      <c r="T204"/>
      <c r="U204"/>
    </row>
    <row r="205" spans="1:21" x14ac:dyDescent="0.25">
      <c r="O205"/>
      <c r="P205"/>
      <c r="Q205"/>
      <c r="R205"/>
      <c r="S205"/>
      <c r="T205"/>
      <c r="U205"/>
    </row>
    <row r="206" spans="1:21" x14ac:dyDescent="0.25">
      <c r="O206"/>
      <c r="P206"/>
      <c r="Q206"/>
      <c r="R206"/>
      <c r="S206"/>
      <c r="T206"/>
      <c r="U206"/>
    </row>
    <row r="207" spans="1:21" x14ac:dyDescent="0.25">
      <c r="O207"/>
      <c r="P207"/>
      <c r="Q207"/>
      <c r="R207"/>
      <c r="S207"/>
      <c r="T207"/>
      <c r="U207"/>
    </row>
    <row r="208" spans="1:21" x14ac:dyDescent="0.25">
      <c r="O208"/>
      <c r="P208"/>
      <c r="Q208"/>
      <c r="R208"/>
      <c r="S208"/>
      <c r="T208"/>
      <c r="U208"/>
    </row>
    <row r="209" spans="15:21" x14ac:dyDescent="0.25">
      <c r="O209"/>
      <c r="P209"/>
      <c r="Q209"/>
      <c r="R209"/>
      <c r="S209"/>
      <c r="T209"/>
      <c r="U209"/>
    </row>
    <row r="210" spans="15:21" x14ac:dyDescent="0.25">
      <c r="O210"/>
      <c r="P210"/>
      <c r="Q210"/>
      <c r="R210"/>
      <c r="S210"/>
      <c r="T210"/>
      <c r="U210"/>
    </row>
    <row r="211" spans="15:21" x14ac:dyDescent="0.25">
      <c r="O211"/>
      <c r="P211"/>
      <c r="Q211"/>
      <c r="R211"/>
      <c r="S211"/>
      <c r="T211"/>
      <c r="U211"/>
    </row>
    <row r="212" spans="15:21" x14ac:dyDescent="0.25">
      <c r="O212"/>
      <c r="P212"/>
      <c r="Q212"/>
      <c r="R212"/>
      <c r="S212"/>
      <c r="T212"/>
      <c r="U212"/>
    </row>
    <row r="213" spans="15:21" x14ac:dyDescent="0.25">
      <c r="O213"/>
      <c r="P213"/>
      <c r="Q213"/>
      <c r="R213"/>
      <c r="S213"/>
      <c r="T213"/>
      <c r="U213"/>
    </row>
    <row r="214" spans="15:21" x14ac:dyDescent="0.25">
      <c r="O214"/>
      <c r="P214"/>
      <c r="Q214"/>
      <c r="R214"/>
      <c r="S214"/>
      <c r="T214"/>
      <c r="U214"/>
    </row>
    <row r="215" spans="15:21" x14ac:dyDescent="0.25">
      <c r="O215"/>
      <c r="P215"/>
      <c r="Q215"/>
      <c r="R215"/>
      <c r="S215"/>
      <c r="T215"/>
      <c r="U215"/>
    </row>
    <row r="216" spans="15:21" x14ac:dyDescent="0.25">
      <c r="O216"/>
      <c r="P216"/>
      <c r="Q216"/>
      <c r="R216"/>
      <c r="S216"/>
      <c r="T216"/>
      <c r="U216"/>
    </row>
    <row r="217" spans="15:21" x14ac:dyDescent="0.25">
      <c r="O217"/>
      <c r="P217"/>
      <c r="Q217"/>
      <c r="R217"/>
      <c r="S217"/>
      <c r="T217"/>
      <c r="U217"/>
    </row>
    <row r="218" spans="15:21" x14ac:dyDescent="0.25">
      <c r="O218"/>
      <c r="P218"/>
      <c r="Q218"/>
      <c r="R218"/>
      <c r="S218"/>
      <c r="T218"/>
      <c r="U218"/>
    </row>
    <row r="219" spans="15:21" x14ac:dyDescent="0.25">
      <c r="O219"/>
      <c r="P219"/>
      <c r="Q219"/>
      <c r="R219"/>
      <c r="S219"/>
      <c r="T219"/>
      <c r="U219"/>
    </row>
    <row r="220" spans="15:21" x14ac:dyDescent="0.25">
      <c r="O220"/>
      <c r="P220"/>
      <c r="Q220"/>
      <c r="R220"/>
      <c r="S220"/>
      <c r="T220"/>
      <c r="U220"/>
    </row>
    <row r="221" spans="15:21" x14ac:dyDescent="0.25">
      <c r="O221"/>
      <c r="P221"/>
      <c r="Q221"/>
      <c r="R221"/>
      <c r="S221"/>
      <c r="T221"/>
      <c r="U221"/>
    </row>
    <row r="222" spans="15:21" x14ac:dyDescent="0.25">
      <c r="O222"/>
      <c r="P222"/>
      <c r="Q222"/>
      <c r="R222"/>
      <c r="S222"/>
      <c r="T222"/>
      <c r="U222"/>
    </row>
    <row r="223" spans="15:21" x14ac:dyDescent="0.25">
      <c r="O223"/>
      <c r="P223"/>
      <c r="Q223"/>
      <c r="R223"/>
      <c r="S223"/>
      <c r="T223"/>
      <c r="U223"/>
    </row>
    <row r="224" spans="15:21" x14ac:dyDescent="0.25">
      <c r="O224"/>
      <c r="P224"/>
      <c r="Q224"/>
      <c r="R224"/>
      <c r="S224"/>
      <c r="T224"/>
      <c r="U224"/>
    </row>
    <row r="225" spans="15:21" x14ac:dyDescent="0.25">
      <c r="O225"/>
      <c r="P225"/>
      <c r="Q225"/>
      <c r="R225"/>
      <c r="S225"/>
      <c r="T225"/>
      <c r="U225"/>
    </row>
    <row r="226" spans="15:21" x14ac:dyDescent="0.25">
      <c r="O226"/>
      <c r="P226"/>
      <c r="Q226"/>
      <c r="R226"/>
      <c r="S226"/>
      <c r="T226"/>
      <c r="U226"/>
    </row>
    <row r="227" spans="15:21" x14ac:dyDescent="0.25">
      <c r="O227"/>
      <c r="P227"/>
      <c r="Q227"/>
      <c r="R227"/>
      <c r="S227"/>
      <c r="T227"/>
      <c r="U227"/>
    </row>
    <row r="228" spans="15:21" x14ac:dyDescent="0.25">
      <c r="O228"/>
      <c r="P228"/>
      <c r="Q228"/>
      <c r="R228"/>
      <c r="S228"/>
      <c r="T228"/>
      <c r="U228"/>
    </row>
    <row r="229" spans="15:21" x14ac:dyDescent="0.25">
      <c r="O229"/>
      <c r="P229"/>
      <c r="Q229"/>
      <c r="R229"/>
      <c r="S229"/>
      <c r="T229"/>
      <c r="U229"/>
    </row>
    <row r="230" spans="15:21" x14ac:dyDescent="0.25">
      <c r="O230"/>
      <c r="P230"/>
      <c r="Q230"/>
      <c r="R230"/>
      <c r="S230"/>
      <c r="T230"/>
      <c r="U230"/>
    </row>
    <row r="231" spans="15:21" x14ac:dyDescent="0.25">
      <c r="O231"/>
      <c r="P231"/>
      <c r="Q231"/>
      <c r="R231"/>
      <c r="S231"/>
      <c r="T231"/>
      <c r="U231"/>
    </row>
    <row r="232" spans="15:21" x14ac:dyDescent="0.25">
      <c r="O232"/>
      <c r="P232"/>
      <c r="Q232"/>
      <c r="R232"/>
      <c r="S232"/>
      <c r="T232"/>
      <c r="U232"/>
    </row>
    <row r="233" spans="15:21" x14ac:dyDescent="0.25">
      <c r="O233"/>
      <c r="P233"/>
      <c r="Q233"/>
      <c r="R233"/>
      <c r="S233"/>
      <c r="T233"/>
      <c r="U233"/>
    </row>
    <row r="234" spans="15:21" x14ac:dyDescent="0.25">
      <c r="O234"/>
      <c r="P234"/>
      <c r="Q234"/>
      <c r="R234"/>
      <c r="S234"/>
      <c r="T234"/>
      <c r="U234"/>
    </row>
    <row r="235" spans="15:21" x14ac:dyDescent="0.25">
      <c r="O235"/>
      <c r="P235"/>
      <c r="Q235"/>
      <c r="R235"/>
      <c r="S235"/>
      <c r="T235"/>
      <c r="U235"/>
    </row>
    <row r="236" spans="15:21" x14ac:dyDescent="0.25">
      <c r="O236"/>
      <c r="P236"/>
      <c r="Q236"/>
      <c r="R236"/>
      <c r="S236"/>
      <c r="T236"/>
      <c r="U236"/>
    </row>
    <row r="237" spans="15:21" x14ac:dyDescent="0.25">
      <c r="O237"/>
      <c r="P237"/>
      <c r="Q237"/>
      <c r="R237"/>
      <c r="S237"/>
      <c r="T237"/>
      <c r="U237"/>
    </row>
    <row r="238" spans="15:21" x14ac:dyDescent="0.25">
      <c r="O238"/>
      <c r="P238"/>
      <c r="Q238"/>
      <c r="R238"/>
      <c r="S238"/>
      <c r="T238"/>
      <c r="U238"/>
    </row>
    <row r="239" spans="15:21" x14ac:dyDescent="0.25">
      <c r="O239"/>
      <c r="P239"/>
      <c r="Q239"/>
      <c r="R239"/>
      <c r="S239"/>
      <c r="T239"/>
      <c r="U239"/>
    </row>
    <row r="240" spans="15:21" x14ac:dyDescent="0.25">
      <c r="O240"/>
      <c r="P240"/>
      <c r="Q240"/>
      <c r="R240"/>
      <c r="S240"/>
      <c r="T240"/>
      <c r="U240"/>
    </row>
    <row r="241" spans="15:21" x14ac:dyDescent="0.25">
      <c r="O241"/>
      <c r="P241"/>
      <c r="Q241"/>
      <c r="R241"/>
      <c r="S241"/>
      <c r="T241"/>
      <c r="U241"/>
    </row>
    <row r="242" spans="15:21" x14ac:dyDescent="0.25">
      <c r="O242"/>
      <c r="P242"/>
      <c r="Q242"/>
      <c r="R242"/>
      <c r="S242"/>
      <c r="T242"/>
      <c r="U242"/>
    </row>
    <row r="243" spans="15:21" x14ac:dyDescent="0.25">
      <c r="O243"/>
      <c r="P243"/>
      <c r="Q243"/>
      <c r="R243"/>
      <c r="S243"/>
      <c r="T243"/>
      <c r="U243"/>
    </row>
    <row r="244" spans="15:21" x14ac:dyDescent="0.25">
      <c r="O244"/>
      <c r="P244"/>
      <c r="Q244"/>
      <c r="R244"/>
      <c r="S244"/>
      <c r="T244"/>
      <c r="U244"/>
    </row>
    <row r="245" spans="15:21" x14ac:dyDescent="0.25">
      <c r="O245"/>
      <c r="P245"/>
      <c r="Q245"/>
      <c r="R245"/>
      <c r="S245"/>
      <c r="T245"/>
      <c r="U245"/>
    </row>
    <row r="246" spans="15:21" x14ac:dyDescent="0.25">
      <c r="O246"/>
      <c r="P246"/>
      <c r="Q246"/>
      <c r="R246"/>
      <c r="S246"/>
      <c r="T246"/>
      <c r="U246"/>
    </row>
    <row r="247" spans="15:21" x14ac:dyDescent="0.25">
      <c r="O247"/>
      <c r="P247"/>
      <c r="Q247"/>
      <c r="R247"/>
      <c r="S247"/>
      <c r="T247"/>
      <c r="U247"/>
    </row>
    <row r="248" spans="15:21" x14ac:dyDescent="0.25">
      <c r="O248"/>
      <c r="P248"/>
      <c r="Q248"/>
      <c r="R248"/>
      <c r="S248"/>
      <c r="T248"/>
      <c r="U248"/>
    </row>
    <row r="249" spans="15:21" x14ac:dyDescent="0.25">
      <c r="O249"/>
      <c r="P249"/>
      <c r="Q249"/>
      <c r="R249"/>
      <c r="S249"/>
      <c r="T249"/>
      <c r="U249"/>
    </row>
    <row r="250" spans="15:21" x14ac:dyDescent="0.25">
      <c r="O250"/>
      <c r="P250"/>
      <c r="Q250"/>
      <c r="R250"/>
      <c r="S250"/>
      <c r="T250"/>
      <c r="U250"/>
    </row>
    <row r="251" spans="15:21" x14ac:dyDescent="0.25">
      <c r="O251"/>
      <c r="P251"/>
      <c r="Q251"/>
      <c r="R251"/>
      <c r="S251"/>
      <c r="T251"/>
      <c r="U251"/>
    </row>
    <row r="252" spans="15:21" x14ac:dyDescent="0.25">
      <c r="O252"/>
      <c r="P252"/>
      <c r="Q252"/>
      <c r="R252"/>
      <c r="S252"/>
      <c r="T252"/>
      <c r="U252"/>
    </row>
    <row r="253" spans="15:21" x14ac:dyDescent="0.25">
      <c r="O253"/>
      <c r="P253"/>
      <c r="Q253"/>
      <c r="R253"/>
      <c r="S253"/>
      <c r="T253"/>
      <c r="U253"/>
    </row>
    <row r="254" spans="15:21" x14ac:dyDescent="0.25">
      <c r="O254"/>
      <c r="P254"/>
      <c r="Q254"/>
      <c r="R254"/>
      <c r="S254"/>
      <c r="T254"/>
      <c r="U254"/>
    </row>
    <row r="255" spans="15:21" x14ac:dyDescent="0.25">
      <c r="O255"/>
      <c r="P255"/>
      <c r="Q255"/>
      <c r="R255"/>
      <c r="S255"/>
      <c r="T255"/>
      <c r="U255"/>
    </row>
    <row r="256" spans="15:21" x14ac:dyDescent="0.25">
      <c r="O256"/>
      <c r="P256"/>
      <c r="Q256"/>
      <c r="R256"/>
      <c r="S256"/>
      <c r="T256"/>
      <c r="U256"/>
    </row>
    <row r="257" spans="15:21" x14ac:dyDescent="0.25">
      <c r="O257"/>
      <c r="P257"/>
      <c r="Q257"/>
      <c r="R257"/>
      <c r="S257"/>
      <c r="T257"/>
      <c r="U257"/>
    </row>
    <row r="258" spans="15:21" x14ac:dyDescent="0.25">
      <c r="O258"/>
      <c r="P258"/>
      <c r="Q258"/>
      <c r="R258"/>
      <c r="S258"/>
      <c r="T258"/>
      <c r="U258"/>
    </row>
    <row r="259" spans="15:21" x14ac:dyDescent="0.25">
      <c r="O259"/>
      <c r="P259"/>
      <c r="Q259"/>
      <c r="R259"/>
      <c r="S259"/>
      <c r="T259"/>
      <c r="U259"/>
    </row>
    <row r="260" spans="15:21" x14ac:dyDescent="0.25">
      <c r="O260"/>
      <c r="P260"/>
      <c r="Q260"/>
      <c r="R260"/>
      <c r="S260"/>
      <c r="T260"/>
      <c r="U260"/>
    </row>
    <row r="261" spans="15:21" x14ac:dyDescent="0.25">
      <c r="O261"/>
      <c r="P261"/>
      <c r="Q261"/>
      <c r="R261"/>
      <c r="S261"/>
      <c r="T261"/>
      <c r="U261"/>
    </row>
    <row r="262" spans="15:21" x14ac:dyDescent="0.25">
      <c r="O262"/>
      <c r="P262"/>
      <c r="Q262"/>
      <c r="R262"/>
      <c r="S262"/>
      <c r="T262"/>
      <c r="U262"/>
    </row>
    <row r="263" spans="15:21" x14ac:dyDescent="0.25">
      <c r="O263"/>
      <c r="P263"/>
      <c r="Q263"/>
      <c r="R263"/>
      <c r="S263"/>
      <c r="T263"/>
      <c r="U263"/>
    </row>
    <row r="264" spans="15:21" x14ac:dyDescent="0.25">
      <c r="O264"/>
      <c r="P264"/>
      <c r="Q264"/>
      <c r="R264"/>
      <c r="S264"/>
      <c r="T264"/>
      <c r="U264"/>
    </row>
    <row r="265" spans="15:21" x14ac:dyDescent="0.25">
      <c r="O265"/>
      <c r="P265"/>
      <c r="Q265"/>
      <c r="R265"/>
      <c r="S265"/>
      <c r="T265"/>
      <c r="U265"/>
    </row>
    <row r="266" spans="15:21" x14ac:dyDescent="0.25">
      <c r="O266"/>
      <c r="P266"/>
      <c r="Q266"/>
      <c r="R266"/>
      <c r="S266"/>
      <c r="T266"/>
      <c r="U266"/>
    </row>
    <row r="267" spans="15:21" x14ac:dyDescent="0.25">
      <c r="O267"/>
      <c r="P267"/>
      <c r="Q267"/>
      <c r="R267"/>
      <c r="S267"/>
      <c r="T267"/>
      <c r="U267"/>
    </row>
    <row r="268" spans="15:21" x14ac:dyDescent="0.25">
      <c r="O268"/>
      <c r="P268"/>
      <c r="Q268"/>
      <c r="R268"/>
      <c r="S268"/>
      <c r="T268"/>
      <c r="U268"/>
    </row>
    <row r="269" spans="15:21" x14ac:dyDescent="0.25">
      <c r="O269"/>
      <c r="P269"/>
      <c r="Q269"/>
      <c r="R269"/>
      <c r="S269"/>
      <c r="T269"/>
      <c r="U269"/>
    </row>
    <row r="270" spans="15:21" x14ac:dyDescent="0.25">
      <c r="O270"/>
      <c r="P270"/>
      <c r="Q270"/>
      <c r="R270"/>
      <c r="S270"/>
      <c r="T270"/>
      <c r="U270"/>
    </row>
    <row r="271" spans="15:21" x14ac:dyDescent="0.25">
      <c r="O271"/>
      <c r="P271"/>
      <c r="Q271"/>
      <c r="R271"/>
      <c r="S271"/>
      <c r="T271"/>
      <c r="U271"/>
    </row>
    <row r="272" spans="15:21" x14ac:dyDescent="0.25">
      <c r="O272"/>
      <c r="P272"/>
      <c r="Q272"/>
      <c r="R272"/>
      <c r="S272"/>
      <c r="T272"/>
      <c r="U272"/>
    </row>
    <row r="273" spans="15:21" x14ac:dyDescent="0.25">
      <c r="O273"/>
      <c r="P273"/>
      <c r="Q273"/>
      <c r="R273"/>
      <c r="S273"/>
      <c r="T273"/>
      <c r="U273"/>
    </row>
    <row r="274" spans="15:21" x14ac:dyDescent="0.25">
      <c r="O274"/>
      <c r="P274"/>
      <c r="Q274"/>
      <c r="R274"/>
      <c r="S274"/>
      <c r="T274"/>
      <c r="U274"/>
    </row>
    <row r="275" spans="15:21" x14ac:dyDescent="0.25">
      <c r="O275"/>
      <c r="P275"/>
      <c r="Q275"/>
      <c r="R275"/>
      <c r="S275"/>
      <c r="T275"/>
      <c r="U275"/>
    </row>
    <row r="276" spans="15:21" x14ac:dyDescent="0.25">
      <c r="O276"/>
      <c r="P276"/>
      <c r="Q276"/>
      <c r="R276"/>
      <c r="S276"/>
      <c r="T276"/>
      <c r="U276"/>
    </row>
    <row r="277" spans="15:21" x14ac:dyDescent="0.25">
      <c r="O277"/>
      <c r="P277"/>
      <c r="Q277"/>
      <c r="R277"/>
      <c r="S277"/>
      <c r="T277"/>
      <c r="U277"/>
    </row>
    <row r="278" spans="15:21" x14ac:dyDescent="0.25">
      <c r="O278"/>
      <c r="P278"/>
      <c r="Q278"/>
      <c r="R278"/>
      <c r="S278"/>
      <c r="T278"/>
      <c r="U278"/>
    </row>
    <row r="279" spans="15:21" x14ac:dyDescent="0.25">
      <c r="O279"/>
      <c r="P279"/>
      <c r="Q279"/>
      <c r="R279"/>
      <c r="S279"/>
      <c r="T279"/>
      <c r="U279"/>
    </row>
    <row r="280" spans="15:21" x14ac:dyDescent="0.25">
      <c r="O280"/>
      <c r="P280"/>
      <c r="Q280"/>
      <c r="R280"/>
      <c r="S280"/>
      <c r="T280"/>
      <c r="U280"/>
    </row>
    <row r="281" spans="15:21" x14ac:dyDescent="0.25">
      <c r="O281"/>
      <c r="P281"/>
      <c r="Q281"/>
      <c r="R281"/>
      <c r="S281"/>
      <c r="T281"/>
      <c r="U281"/>
    </row>
    <row r="282" spans="15:21" x14ac:dyDescent="0.25">
      <c r="O282"/>
      <c r="P282"/>
      <c r="Q282"/>
      <c r="R282"/>
      <c r="S282"/>
      <c r="T282"/>
      <c r="U282"/>
    </row>
    <row r="283" spans="15:21" x14ac:dyDescent="0.25">
      <c r="O283"/>
      <c r="P283"/>
      <c r="Q283"/>
      <c r="R283"/>
      <c r="S283"/>
      <c r="T283"/>
      <c r="U283"/>
    </row>
    <row r="284" spans="15:21" x14ac:dyDescent="0.25">
      <c r="O284"/>
      <c r="P284"/>
      <c r="Q284"/>
      <c r="R284"/>
      <c r="S284"/>
      <c r="T284"/>
      <c r="U284"/>
    </row>
    <row r="285" spans="15:21" x14ac:dyDescent="0.25">
      <c r="O285"/>
      <c r="P285"/>
      <c r="Q285"/>
      <c r="R285"/>
      <c r="S285"/>
      <c r="T285"/>
      <c r="U285"/>
    </row>
    <row r="286" spans="15:21" x14ac:dyDescent="0.25">
      <c r="O286"/>
      <c r="P286"/>
      <c r="Q286"/>
      <c r="R286"/>
      <c r="S286"/>
      <c r="T286"/>
      <c r="U286"/>
    </row>
    <row r="287" spans="15:21" x14ac:dyDescent="0.25">
      <c r="O287"/>
      <c r="P287"/>
      <c r="Q287"/>
      <c r="R287"/>
      <c r="S287"/>
      <c r="T287"/>
      <c r="U287"/>
    </row>
    <row r="288" spans="15:21" x14ac:dyDescent="0.25">
      <c r="O288"/>
      <c r="P288"/>
      <c r="Q288"/>
      <c r="R288"/>
      <c r="S288"/>
      <c r="T288"/>
      <c r="U288"/>
    </row>
    <row r="289" spans="15:21" x14ac:dyDescent="0.25">
      <c r="O289"/>
      <c r="P289"/>
      <c r="Q289"/>
      <c r="R289"/>
      <c r="S289"/>
      <c r="T289"/>
      <c r="U289"/>
    </row>
    <row r="290" spans="15:21" x14ac:dyDescent="0.25">
      <c r="O290"/>
      <c r="P290"/>
      <c r="Q290"/>
      <c r="R290"/>
      <c r="S290"/>
      <c r="T290"/>
      <c r="U290"/>
    </row>
    <row r="291" spans="15:21" x14ac:dyDescent="0.25">
      <c r="O291"/>
      <c r="P291"/>
      <c r="Q291"/>
      <c r="R291"/>
      <c r="S291"/>
      <c r="T291"/>
      <c r="U291"/>
    </row>
    <row r="292" spans="15:21" x14ac:dyDescent="0.25">
      <c r="O292"/>
      <c r="P292"/>
      <c r="Q292"/>
      <c r="R292"/>
      <c r="S292"/>
      <c r="T292"/>
      <c r="U292"/>
    </row>
    <row r="293" spans="15:21" x14ac:dyDescent="0.25">
      <c r="O293"/>
      <c r="P293"/>
      <c r="Q293"/>
      <c r="R293"/>
      <c r="S293"/>
      <c r="T293"/>
      <c r="U293"/>
    </row>
    <row r="294" spans="15:21" x14ac:dyDescent="0.25">
      <c r="O294"/>
      <c r="P294"/>
      <c r="Q294"/>
      <c r="R294"/>
      <c r="S294"/>
      <c r="T294"/>
      <c r="U294"/>
    </row>
    <row r="295" spans="15:21" x14ac:dyDescent="0.25">
      <c r="O295"/>
      <c r="P295"/>
      <c r="Q295"/>
      <c r="R295"/>
      <c r="S295"/>
      <c r="T295"/>
      <c r="U295"/>
    </row>
    <row r="296" spans="15:21" x14ac:dyDescent="0.25">
      <c r="O296"/>
      <c r="P296"/>
      <c r="Q296"/>
      <c r="R296"/>
      <c r="S296"/>
      <c r="T296"/>
      <c r="U296"/>
    </row>
    <row r="297" spans="15:21" x14ac:dyDescent="0.25">
      <c r="O297"/>
      <c r="P297"/>
      <c r="Q297"/>
      <c r="R297"/>
      <c r="S297"/>
      <c r="T297"/>
      <c r="U297"/>
    </row>
    <row r="298" spans="15:21" x14ac:dyDescent="0.25">
      <c r="O298"/>
      <c r="P298"/>
      <c r="Q298"/>
      <c r="R298"/>
      <c r="S298"/>
      <c r="T298"/>
      <c r="U298"/>
    </row>
    <row r="299" spans="15:21" x14ac:dyDescent="0.25">
      <c r="O299"/>
      <c r="P299"/>
      <c r="Q299"/>
      <c r="R299"/>
      <c r="S299"/>
      <c r="T299"/>
      <c r="U299"/>
    </row>
    <row r="300" spans="15:21" x14ac:dyDescent="0.25">
      <c r="O300"/>
      <c r="P300"/>
      <c r="Q300"/>
      <c r="R300"/>
      <c r="S300"/>
      <c r="T300"/>
      <c r="U300"/>
    </row>
    <row r="301" spans="15:21" x14ac:dyDescent="0.25">
      <c r="O301"/>
      <c r="P301"/>
      <c r="Q301"/>
      <c r="R301"/>
      <c r="S301"/>
      <c r="T301"/>
      <c r="U301"/>
    </row>
    <row r="302" spans="15:21" x14ac:dyDescent="0.25">
      <c r="O302"/>
      <c r="P302"/>
      <c r="Q302"/>
      <c r="R302"/>
      <c r="S302"/>
      <c r="T302"/>
      <c r="U302"/>
    </row>
    <row r="303" spans="15:21" x14ac:dyDescent="0.25">
      <c r="O303"/>
      <c r="P303"/>
      <c r="Q303"/>
      <c r="R303"/>
      <c r="S303"/>
      <c r="T303"/>
      <c r="U303"/>
    </row>
    <row r="304" spans="15:21" x14ac:dyDescent="0.25">
      <c r="O304"/>
      <c r="P304"/>
      <c r="Q304"/>
      <c r="R304"/>
      <c r="S304"/>
      <c r="T304"/>
      <c r="U304"/>
    </row>
    <row r="305" spans="15:21" x14ac:dyDescent="0.25">
      <c r="O305"/>
      <c r="P305"/>
      <c r="Q305"/>
      <c r="R305"/>
      <c r="S305"/>
      <c r="T305"/>
      <c r="U305"/>
    </row>
    <row r="306" spans="15:21" x14ac:dyDescent="0.25">
      <c r="O306"/>
      <c r="P306"/>
      <c r="Q306"/>
      <c r="R306"/>
      <c r="S306"/>
      <c r="T306"/>
      <c r="U306"/>
    </row>
    <row r="307" spans="15:21" x14ac:dyDescent="0.25">
      <c r="O307"/>
      <c r="P307"/>
      <c r="Q307"/>
      <c r="R307"/>
      <c r="S307"/>
      <c r="T307"/>
      <c r="U307"/>
    </row>
    <row r="308" spans="15:21" x14ac:dyDescent="0.25">
      <c r="O308"/>
      <c r="P308"/>
      <c r="Q308"/>
      <c r="R308"/>
      <c r="S308"/>
      <c r="T308"/>
      <c r="U308"/>
    </row>
    <row r="309" spans="15:21" x14ac:dyDescent="0.25">
      <c r="O309"/>
      <c r="P309"/>
      <c r="Q309"/>
      <c r="R309"/>
      <c r="S309"/>
      <c r="T309"/>
      <c r="U309"/>
    </row>
    <row r="310" spans="15:21" x14ac:dyDescent="0.25">
      <c r="O310"/>
      <c r="P310"/>
      <c r="Q310"/>
      <c r="R310"/>
      <c r="S310"/>
      <c r="T310"/>
      <c r="U310"/>
    </row>
    <row r="311" spans="15:21" x14ac:dyDescent="0.25">
      <c r="O311"/>
      <c r="P311"/>
      <c r="Q311"/>
      <c r="R311"/>
      <c r="S311"/>
      <c r="T311"/>
      <c r="U311"/>
    </row>
    <row r="312" spans="15:21" x14ac:dyDescent="0.25">
      <c r="O312"/>
      <c r="P312"/>
      <c r="Q312"/>
      <c r="R312"/>
      <c r="S312"/>
      <c r="T312"/>
      <c r="U312"/>
    </row>
    <row r="313" spans="15:21" x14ac:dyDescent="0.25">
      <c r="O313"/>
      <c r="P313"/>
      <c r="Q313"/>
      <c r="R313"/>
      <c r="S313"/>
      <c r="T313"/>
      <c r="U313"/>
    </row>
    <row r="314" spans="15:21" x14ac:dyDescent="0.25">
      <c r="O314"/>
      <c r="P314"/>
      <c r="Q314"/>
      <c r="R314"/>
      <c r="S314"/>
      <c r="T314"/>
      <c r="U314"/>
    </row>
    <row r="315" spans="15:21" x14ac:dyDescent="0.25">
      <c r="O315"/>
      <c r="P315"/>
      <c r="Q315"/>
      <c r="R315"/>
      <c r="S315"/>
      <c r="T315"/>
      <c r="U315"/>
    </row>
    <row r="316" spans="15:21" x14ac:dyDescent="0.25">
      <c r="O316"/>
      <c r="P316"/>
      <c r="Q316"/>
      <c r="R316"/>
      <c r="S316"/>
      <c r="T316"/>
      <c r="U316"/>
    </row>
    <row r="317" spans="15:21" x14ac:dyDescent="0.25">
      <c r="O317"/>
      <c r="P317"/>
      <c r="Q317"/>
      <c r="R317"/>
      <c r="S317"/>
      <c r="T317"/>
      <c r="U317"/>
    </row>
    <row r="318" spans="15:21" x14ac:dyDescent="0.25">
      <c r="O318"/>
      <c r="P318"/>
      <c r="Q318"/>
      <c r="R318"/>
      <c r="S318"/>
      <c r="T318"/>
      <c r="U318"/>
    </row>
    <row r="319" spans="15:21" x14ac:dyDescent="0.25">
      <c r="O319"/>
      <c r="P319"/>
      <c r="Q319"/>
      <c r="R319"/>
      <c r="S319"/>
      <c r="T319"/>
      <c r="U319"/>
    </row>
    <row r="320" spans="15:21" x14ac:dyDescent="0.25">
      <c r="O320"/>
      <c r="P320"/>
      <c r="Q320"/>
      <c r="R320"/>
      <c r="S320"/>
      <c r="T320"/>
      <c r="U320"/>
    </row>
    <row r="321" spans="15:21" x14ac:dyDescent="0.25">
      <c r="O321"/>
      <c r="P321"/>
      <c r="Q321"/>
      <c r="R321"/>
      <c r="S321"/>
      <c r="T321"/>
      <c r="U321"/>
    </row>
    <row r="322" spans="15:21" x14ac:dyDescent="0.25">
      <c r="O322"/>
      <c r="P322"/>
      <c r="Q322"/>
      <c r="R322"/>
      <c r="S322"/>
      <c r="T322"/>
      <c r="U322"/>
    </row>
    <row r="323" spans="15:21" x14ac:dyDescent="0.25">
      <c r="O323"/>
      <c r="P323"/>
      <c r="Q323"/>
      <c r="R323"/>
      <c r="S323"/>
      <c r="T323"/>
      <c r="U323"/>
    </row>
    <row r="324" spans="15:21" x14ac:dyDescent="0.25">
      <c r="O324"/>
      <c r="P324"/>
      <c r="Q324"/>
      <c r="R324"/>
      <c r="S324"/>
      <c r="T324"/>
      <c r="U324"/>
    </row>
    <row r="325" spans="15:21" x14ac:dyDescent="0.25">
      <c r="O325"/>
      <c r="P325"/>
      <c r="Q325"/>
      <c r="R325"/>
      <c r="S325"/>
      <c r="T325"/>
      <c r="U325"/>
    </row>
    <row r="326" spans="15:21" x14ac:dyDescent="0.25">
      <c r="O326"/>
      <c r="P326"/>
      <c r="Q326"/>
      <c r="R326"/>
      <c r="S326"/>
      <c r="T326"/>
      <c r="U326"/>
    </row>
    <row r="327" spans="15:21" x14ac:dyDescent="0.25">
      <c r="O327"/>
      <c r="P327"/>
      <c r="Q327"/>
      <c r="R327"/>
      <c r="S327"/>
      <c r="T327"/>
      <c r="U327"/>
    </row>
    <row r="328" spans="15:21" x14ac:dyDescent="0.25">
      <c r="O328"/>
      <c r="P328"/>
      <c r="Q328"/>
      <c r="R328"/>
      <c r="S328"/>
      <c r="T328"/>
      <c r="U328"/>
    </row>
    <row r="329" spans="15:21" x14ac:dyDescent="0.25">
      <c r="O329"/>
      <c r="P329"/>
      <c r="Q329"/>
      <c r="R329"/>
      <c r="S329"/>
      <c r="T329"/>
      <c r="U329"/>
    </row>
    <row r="330" spans="15:21" x14ac:dyDescent="0.25">
      <c r="O330"/>
      <c r="P330"/>
      <c r="Q330"/>
      <c r="R330"/>
      <c r="S330"/>
      <c r="T330"/>
      <c r="U330"/>
    </row>
    <row r="331" spans="15:21" x14ac:dyDescent="0.25">
      <c r="O331"/>
      <c r="P331"/>
      <c r="Q331"/>
      <c r="R331"/>
      <c r="S331"/>
      <c r="T331"/>
      <c r="U331"/>
    </row>
    <row r="332" spans="15:21" x14ac:dyDescent="0.25">
      <c r="O332"/>
      <c r="P332"/>
      <c r="Q332"/>
      <c r="R332"/>
      <c r="S332"/>
      <c r="T332"/>
      <c r="U332"/>
    </row>
    <row r="333" spans="15:21" x14ac:dyDescent="0.25">
      <c r="O333"/>
      <c r="P333"/>
      <c r="Q333"/>
      <c r="R333"/>
      <c r="S333"/>
      <c r="T333"/>
      <c r="U333"/>
    </row>
    <row r="334" spans="15:21" x14ac:dyDescent="0.25">
      <c r="O334"/>
      <c r="P334"/>
      <c r="Q334"/>
      <c r="R334"/>
      <c r="S334"/>
      <c r="T334"/>
      <c r="U334"/>
    </row>
    <row r="335" spans="15:21" x14ac:dyDescent="0.25">
      <c r="O335"/>
      <c r="P335"/>
      <c r="Q335"/>
      <c r="R335"/>
      <c r="S335"/>
      <c r="T335"/>
      <c r="U335"/>
    </row>
    <row r="336" spans="15:21" x14ac:dyDescent="0.25">
      <c r="O336"/>
      <c r="P336"/>
      <c r="Q336"/>
      <c r="R336"/>
      <c r="S336"/>
      <c r="T336"/>
      <c r="U336"/>
    </row>
    <row r="337" spans="15:21" x14ac:dyDescent="0.25">
      <c r="O337"/>
      <c r="P337"/>
      <c r="Q337"/>
      <c r="R337"/>
      <c r="S337"/>
      <c r="T337"/>
      <c r="U337"/>
    </row>
    <row r="338" spans="15:21" x14ac:dyDescent="0.25">
      <c r="O338"/>
      <c r="P338"/>
      <c r="Q338"/>
      <c r="R338"/>
      <c r="S338"/>
      <c r="T338"/>
      <c r="U338"/>
    </row>
    <row r="339" spans="15:21" x14ac:dyDescent="0.25">
      <c r="O339"/>
      <c r="P339"/>
      <c r="Q339"/>
      <c r="R339"/>
      <c r="S339"/>
      <c r="T339"/>
      <c r="U339"/>
    </row>
    <row r="340" spans="15:21" x14ac:dyDescent="0.25">
      <c r="O340"/>
      <c r="P340"/>
      <c r="Q340"/>
      <c r="R340"/>
      <c r="S340"/>
      <c r="T340"/>
      <c r="U340"/>
    </row>
    <row r="341" spans="15:21" x14ac:dyDescent="0.25">
      <c r="O341"/>
      <c r="P341"/>
      <c r="Q341"/>
      <c r="R341"/>
      <c r="S341"/>
      <c r="T341"/>
      <c r="U341"/>
    </row>
    <row r="342" spans="15:21" x14ac:dyDescent="0.25">
      <c r="O342"/>
      <c r="P342"/>
      <c r="Q342"/>
      <c r="R342"/>
      <c r="S342"/>
      <c r="T342"/>
      <c r="U342"/>
    </row>
    <row r="343" spans="15:21" x14ac:dyDescent="0.25">
      <c r="O343"/>
      <c r="P343"/>
      <c r="Q343"/>
      <c r="R343"/>
      <c r="S343"/>
      <c r="T343"/>
      <c r="U343"/>
    </row>
    <row r="344" spans="15:21" x14ac:dyDescent="0.25">
      <c r="O344"/>
      <c r="P344"/>
      <c r="Q344"/>
      <c r="R344"/>
      <c r="S344"/>
      <c r="T344"/>
      <c r="U344"/>
    </row>
    <row r="345" spans="15:21" x14ac:dyDescent="0.25">
      <c r="O345"/>
      <c r="P345"/>
      <c r="Q345"/>
      <c r="R345"/>
      <c r="S345"/>
      <c r="T345"/>
      <c r="U345"/>
    </row>
    <row r="346" spans="15:21" x14ac:dyDescent="0.25">
      <c r="O346"/>
      <c r="P346"/>
      <c r="Q346"/>
      <c r="R346"/>
      <c r="S346"/>
      <c r="T346"/>
      <c r="U346"/>
    </row>
    <row r="347" spans="15:21" x14ac:dyDescent="0.25">
      <c r="O347"/>
      <c r="P347"/>
      <c r="Q347"/>
      <c r="R347"/>
      <c r="S347"/>
      <c r="T347"/>
      <c r="U347"/>
    </row>
    <row r="348" spans="15:21" x14ac:dyDescent="0.25">
      <c r="O348"/>
      <c r="P348"/>
      <c r="Q348"/>
      <c r="R348"/>
      <c r="S348"/>
      <c r="T348"/>
      <c r="U348"/>
    </row>
    <row r="349" spans="15:21" x14ac:dyDescent="0.25">
      <c r="O349"/>
      <c r="P349"/>
      <c r="Q349"/>
      <c r="R349"/>
      <c r="S349"/>
      <c r="T349"/>
      <c r="U349"/>
    </row>
    <row r="350" spans="15:21" x14ac:dyDescent="0.25">
      <c r="O350"/>
      <c r="P350"/>
      <c r="Q350"/>
      <c r="R350"/>
      <c r="S350"/>
      <c r="T350"/>
      <c r="U350"/>
    </row>
    <row r="351" spans="15:21" x14ac:dyDescent="0.25">
      <c r="O351"/>
      <c r="P351"/>
      <c r="Q351"/>
      <c r="R351"/>
      <c r="S351"/>
      <c r="T351"/>
      <c r="U351"/>
    </row>
    <row r="352" spans="15:21" x14ac:dyDescent="0.25">
      <c r="O352"/>
      <c r="P352"/>
      <c r="Q352"/>
      <c r="R352"/>
      <c r="S352"/>
      <c r="T352"/>
      <c r="U352"/>
    </row>
    <row r="353" spans="15:21" x14ac:dyDescent="0.25">
      <c r="O353"/>
      <c r="P353"/>
      <c r="Q353"/>
      <c r="R353"/>
      <c r="S353"/>
      <c r="T353"/>
      <c r="U353"/>
    </row>
    <row r="354" spans="15:21" x14ac:dyDescent="0.25">
      <c r="O354"/>
      <c r="P354"/>
      <c r="Q354"/>
      <c r="R354"/>
      <c r="S354"/>
      <c r="T354"/>
      <c r="U354"/>
    </row>
    <row r="355" spans="15:21" x14ac:dyDescent="0.25">
      <c r="O355"/>
      <c r="P355"/>
      <c r="Q355"/>
      <c r="R355"/>
      <c r="S355"/>
      <c r="T355"/>
      <c r="U355"/>
    </row>
    <row r="356" spans="15:21" x14ac:dyDescent="0.25">
      <c r="O356"/>
      <c r="P356"/>
      <c r="Q356"/>
      <c r="R356"/>
      <c r="S356"/>
      <c r="T356"/>
      <c r="U356"/>
    </row>
    <row r="357" spans="15:21" x14ac:dyDescent="0.25">
      <c r="O357"/>
      <c r="P357"/>
      <c r="Q357"/>
      <c r="R357"/>
      <c r="S357"/>
      <c r="T357"/>
      <c r="U357"/>
    </row>
    <row r="358" spans="15:21" x14ac:dyDescent="0.25">
      <c r="O358"/>
      <c r="P358"/>
      <c r="Q358"/>
      <c r="R358"/>
      <c r="S358"/>
      <c r="T358"/>
      <c r="U358"/>
    </row>
    <row r="359" spans="15:21" x14ac:dyDescent="0.25">
      <c r="O359"/>
      <c r="P359"/>
      <c r="Q359"/>
      <c r="R359"/>
      <c r="S359"/>
      <c r="T359"/>
      <c r="U359"/>
    </row>
    <row r="360" spans="15:21" x14ac:dyDescent="0.25">
      <c r="O360"/>
      <c r="P360"/>
      <c r="Q360"/>
      <c r="R360"/>
      <c r="S360"/>
      <c r="T360"/>
      <c r="U360"/>
    </row>
    <row r="361" spans="15:21" x14ac:dyDescent="0.25">
      <c r="O361"/>
      <c r="P361"/>
      <c r="Q361"/>
      <c r="R361"/>
      <c r="S361"/>
      <c r="T361"/>
      <c r="U361"/>
    </row>
    <row r="362" spans="15:21" x14ac:dyDescent="0.25">
      <c r="O362"/>
      <c r="P362"/>
      <c r="Q362"/>
      <c r="R362"/>
      <c r="S362"/>
      <c r="T362"/>
      <c r="U362"/>
    </row>
    <row r="363" spans="15:21" x14ac:dyDescent="0.25">
      <c r="O363"/>
      <c r="P363"/>
      <c r="Q363"/>
      <c r="R363"/>
      <c r="S363"/>
      <c r="T363"/>
      <c r="U363"/>
    </row>
    <row r="364" spans="15:21" x14ac:dyDescent="0.25">
      <c r="O364"/>
      <c r="P364"/>
      <c r="Q364"/>
      <c r="R364"/>
      <c r="S364"/>
      <c r="T364"/>
      <c r="U364"/>
    </row>
    <row r="365" spans="15:21" x14ac:dyDescent="0.25">
      <c r="O365"/>
      <c r="P365"/>
      <c r="Q365"/>
      <c r="R365"/>
      <c r="S365"/>
      <c r="T365"/>
      <c r="U365"/>
    </row>
    <row r="366" spans="15:21" x14ac:dyDescent="0.25">
      <c r="O366"/>
      <c r="P366"/>
      <c r="Q366"/>
      <c r="R366"/>
      <c r="S366"/>
      <c r="T366"/>
      <c r="U366"/>
    </row>
    <row r="367" spans="15:21" x14ac:dyDescent="0.25">
      <c r="O367"/>
      <c r="P367"/>
      <c r="Q367"/>
      <c r="R367"/>
      <c r="S367"/>
      <c r="T367"/>
      <c r="U367"/>
    </row>
    <row r="368" spans="15:21" x14ac:dyDescent="0.25">
      <c r="O368"/>
      <c r="P368"/>
      <c r="Q368"/>
      <c r="R368"/>
      <c r="S368"/>
      <c r="T368"/>
      <c r="U368"/>
    </row>
    <row r="369" spans="15:21" x14ac:dyDescent="0.25">
      <c r="O369"/>
      <c r="P369"/>
      <c r="Q369"/>
      <c r="R369"/>
      <c r="S369"/>
      <c r="T369"/>
      <c r="U369"/>
    </row>
    <row r="370" spans="15:21" x14ac:dyDescent="0.25">
      <c r="O370"/>
      <c r="P370"/>
      <c r="Q370"/>
      <c r="R370"/>
      <c r="S370"/>
      <c r="T370"/>
      <c r="U370"/>
    </row>
    <row r="371" spans="15:21" x14ac:dyDescent="0.25">
      <c r="O371"/>
      <c r="P371"/>
      <c r="Q371"/>
      <c r="R371"/>
      <c r="S371"/>
      <c r="T371"/>
      <c r="U371"/>
    </row>
    <row r="372" spans="15:21" x14ac:dyDescent="0.25">
      <c r="O372"/>
      <c r="P372"/>
      <c r="Q372"/>
      <c r="R372"/>
      <c r="S372"/>
      <c r="T372"/>
      <c r="U372"/>
    </row>
    <row r="373" spans="15:21" x14ac:dyDescent="0.25">
      <c r="O373"/>
      <c r="P373"/>
      <c r="Q373"/>
      <c r="R373"/>
      <c r="S373"/>
      <c r="T373"/>
      <c r="U373"/>
    </row>
    <row r="374" spans="15:21" x14ac:dyDescent="0.25">
      <c r="O374"/>
      <c r="P374"/>
      <c r="Q374"/>
      <c r="R374"/>
      <c r="S374"/>
      <c r="T374"/>
      <c r="U374"/>
    </row>
    <row r="375" spans="15:21" x14ac:dyDescent="0.25">
      <c r="O375"/>
      <c r="P375"/>
      <c r="Q375"/>
      <c r="R375"/>
      <c r="S375"/>
      <c r="T375"/>
      <c r="U375"/>
    </row>
    <row r="376" spans="15:21" x14ac:dyDescent="0.25">
      <c r="O376"/>
      <c r="P376"/>
      <c r="Q376"/>
      <c r="R376"/>
      <c r="S376"/>
      <c r="T376"/>
      <c r="U376"/>
    </row>
    <row r="377" spans="15:21" x14ac:dyDescent="0.25">
      <c r="O377"/>
      <c r="P377"/>
      <c r="Q377"/>
      <c r="R377"/>
      <c r="S377"/>
      <c r="T377"/>
      <c r="U377"/>
    </row>
    <row r="378" spans="15:21" x14ac:dyDescent="0.25">
      <c r="O378"/>
      <c r="P378"/>
      <c r="Q378"/>
      <c r="R378"/>
      <c r="S378"/>
      <c r="T378"/>
      <c r="U378"/>
    </row>
    <row r="379" spans="15:21" x14ac:dyDescent="0.25">
      <c r="O379"/>
      <c r="P379"/>
      <c r="Q379"/>
      <c r="R379"/>
      <c r="S379"/>
      <c r="T379"/>
      <c r="U379"/>
    </row>
    <row r="380" spans="15:21" x14ac:dyDescent="0.25">
      <c r="O380"/>
      <c r="P380"/>
      <c r="Q380"/>
      <c r="R380"/>
      <c r="S380"/>
      <c r="T380"/>
      <c r="U380"/>
    </row>
    <row r="381" spans="15:21" x14ac:dyDescent="0.25">
      <c r="O381"/>
      <c r="P381"/>
      <c r="Q381"/>
      <c r="R381"/>
      <c r="S381"/>
      <c r="T381"/>
      <c r="U381"/>
    </row>
    <row r="382" spans="15:21" x14ac:dyDescent="0.25">
      <c r="O382"/>
      <c r="P382"/>
      <c r="Q382"/>
      <c r="R382"/>
      <c r="S382"/>
      <c r="T382"/>
      <c r="U382"/>
    </row>
    <row r="383" spans="15:21" x14ac:dyDescent="0.25">
      <c r="O383"/>
      <c r="P383"/>
      <c r="Q383"/>
      <c r="R383"/>
      <c r="S383"/>
      <c r="T383"/>
      <c r="U383"/>
    </row>
    <row r="384" spans="15:21" x14ac:dyDescent="0.25">
      <c r="O384"/>
      <c r="P384"/>
      <c r="Q384"/>
      <c r="R384"/>
      <c r="S384"/>
      <c r="T384"/>
      <c r="U384"/>
    </row>
    <row r="385" spans="15:21" x14ac:dyDescent="0.25">
      <c r="O385"/>
      <c r="P385"/>
      <c r="Q385"/>
      <c r="R385"/>
      <c r="S385"/>
      <c r="T385"/>
      <c r="U385"/>
    </row>
    <row r="386" spans="15:21" x14ac:dyDescent="0.25">
      <c r="O386"/>
      <c r="P386"/>
      <c r="Q386"/>
      <c r="R386"/>
      <c r="S386"/>
      <c r="T386"/>
      <c r="U386"/>
    </row>
    <row r="387" spans="15:21" x14ac:dyDescent="0.25">
      <c r="O387"/>
      <c r="P387"/>
      <c r="Q387"/>
      <c r="R387"/>
      <c r="S387"/>
      <c r="T387"/>
      <c r="U387"/>
    </row>
    <row r="388" spans="15:21" x14ac:dyDescent="0.25">
      <c r="O388"/>
      <c r="P388"/>
      <c r="Q388"/>
      <c r="R388"/>
      <c r="S388"/>
      <c r="T388"/>
      <c r="U388"/>
    </row>
    <row r="389" spans="15:21" x14ac:dyDescent="0.25">
      <c r="O389"/>
      <c r="P389"/>
      <c r="Q389"/>
      <c r="R389"/>
      <c r="S389"/>
      <c r="T389"/>
      <c r="U389"/>
    </row>
    <row r="390" spans="15:21" x14ac:dyDescent="0.25">
      <c r="O390"/>
      <c r="P390"/>
      <c r="Q390"/>
      <c r="R390"/>
      <c r="S390"/>
      <c r="T390"/>
      <c r="U390"/>
    </row>
    <row r="391" spans="15:21" x14ac:dyDescent="0.25">
      <c r="O391"/>
      <c r="P391"/>
      <c r="Q391"/>
      <c r="R391"/>
      <c r="S391"/>
      <c r="T391"/>
      <c r="U391"/>
    </row>
    <row r="392" spans="15:21" x14ac:dyDescent="0.25">
      <c r="O392"/>
      <c r="P392"/>
      <c r="Q392"/>
      <c r="R392"/>
      <c r="S392"/>
      <c r="T392"/>
      <c r="U392"/>
    </row>
    <row r="393" spans="15:21" x14ac:dyDescent="0.25">
      <c r="O393"/>
      <c r="P393"/>
      <c r="Q393"/>
      <c r="R393"/>
      <c r="S393"/>
      <c r="T393"/>
      <c r="U393"/>
    </row>
    <row r="394" spans="15:21" x14ac:dyDescent="0.25">
      <c r="O394"/>
      <c r="P394"/>
      <c r="Q394"/>
      <c r="R394"/>
      <c r="S394"/>
      <c r="T394"/>
      <c r="U394"/>
    </row>
    <row r="395" spans="15:21" x14ac:dyDescent="0.25">
      <c r="O395"/>
      <c r="P395"/>
      <c r="Q395"/>
      <c r="R395"/>
      <c r="S395"/>
      <c r="T395"/>
      <c r="U395"/>
    </row>
    <row r="396" spans="15:21" x14ac:dyDescent="0.25">
      <c r="O396"/>
      <c r="P396"/>
      <c r="Q396"/>
      <c r="R396"/>
      <c r="S396"/>
      <c r="T396"/>
      <c r="U396"/>
    </row>
    <row r="397" spans="15:21" x14ac:dyDescent="0.25">
      <c r="O397"/>
      <c r="P397"/>
      <c r="Q397"/>
      <c r="R397"/>
      <c r="S397"/>
      <c r="T397"/>
      <c r="U397"/>
    </row>
    <row r="398" spans="15:21" x14ac:dyDescent="0.25">
      <c r="O398"/>
      <c r="P398"/>
      <c r="Q398"/>
      <c r="R398"/>
      <c r="S398"/>
      <c r="T398"/>
      <c r="U398"/>
    </row>
    <row r="399" spans="15:21" x14ac:dyDescent="0.25">
      <c r="O399"/>
      <c r="P399"/>
      <c r="Q399"/>
      <c r="R399"/>
      <c r="S399"/>
      <c r="T399"/>
      <c r="U399"/>
    </row>
    <row r="400" spans="15:21" x14ac:dyDescent="0.25">
      <c r="O400"/>
      <c r="P400"/>
      <c r="Q400"/>
      <c r="R400"/>
      <c r="S400"/>
      <c r="T400"/>
      <c r="U400"/>
    </row>
    <row r="401" spans="15:21" x14ac:dyDescent="0.25">
      <c r="O401"/>
      <c r="P401"/>
      <c r="Q401"/>
      <c r="R401"/>
      <c r="S401"/>
      <c r="T401"/>
      <c r="U401"/>
    </row>
    <row r="402" spans="15:21" x14ac:dyDescent="0.25">
      <c r="O402"/>
      <c r="P402"/>
      <c r="Q402"/>
      <c r="R402"/>
      <c r="S402"/>
      <c r="T402"/>
      <c r="U402"/>
    </row>
    <row r="403" spans="15:21" x14ac:dyDescent="0.25">
      <c r="O403"/>
      <c r="P403"/>
      <c r="Q403"/>
      <c r="R403"/>
      <c r="S403"/>
      <c r="T403"/>
      <c r="U403"/>
    </row>
    <row r="404" spans="15:21" x14ac:dyDescent="0.25">
      <c r="O404"/>
      <c r="P404"/>
      <c r="Q404"/>
      <c r="R404"/>
      <c r="S404"/>
      <c r="T404"/>
      <c r="U404"/>
    </row>
    <row r="405" spans="15:21" x14ac:dyDescent="0.25">
      <c r="O405"/>
      <c r="P405"/>
      <c r="Q405"/>
      <c r="R405"/>
      <c r="S405"/>
      <c r="T405"/>
      <c r="U405"/>
    </row>
    <row r="406" spans="15:21" x14ac:dyDescent="0.25">
      <c r="O406"/>
      <c r="P406"/>
      <c r="Q406"/>
      <c r="R406"/>
      <c r="S406"/>
      <c r="T406"/>
      <c r="U406"/>
    </row>
    <row r="407" spans="15:21" x14ac:dyDescent="0.25">
      <c r="O407"/>
      <c r="P407"/>
      <c r="Q407"/>
      <c r="R407"/>
      <c r="S407"/>
      <c r="T407"/>
      <c r="U407"/>
    </row>
    <row r="408" spans="15:21" x14ac:dyDescent="0.25">
      <c r="O408"/>
      <c r="P408"/>
      <c r="Q408"/>
      <c r="R408"/>
      <c r="S408"/>
      <c r="T408"/>
      <c r="U408"/>
    </row>
    <row r="409" spans="15:21" x14ac:dyDescent="0.25">
      <c r="O409"/>
      <c r="P409"/>
      <c r="Q409"/>
      <c r="R409"/>
      <c r="S409"/>
      <c r="T409"/>
      <c r="U409"/>
    </row>
    <row r="410" spans="15:21" x14ac:dyDescent="0.25">
      <c r="O410"/>
      <c r="P410"/>
      <c r="Q410"/>
      <c r="R410"/>
      <c r="S410"/>
      <c r="T410"/>
      <c r="U410"/>
    </row>
    <row r="411" spans="15:21" x14ac:dyDescent="0.25">
      <c r="O411"/>
      <c r="P411"/>
      <c r="Q411"/>
      <c r="R411"/>
      <c r="S411"/>
      <c r="T411"/>
      <c r="U411"/>
    </row>
    <row r="412" spans="15:21" x14ac:dyDescent="0.25">
      <c r="O412"/>
      <c r="P412"/>
      <c r="Q412"/>
      <c r="R412"/>
      <c r="S412"/>
      <c r="T412"/>
      <c r="U412"/>
    </row>
    <row r="413" spans="15:21" x14ac:dyDescent="0.25">
      <c r="O413"/>
      <c r="P413"/>
      <c r="Q413"/>
      <c r="R413"/>
      <c r="S413"/>
      <c r="T413"/>
      <c r="U413"/>
    </row>
    <row r="414" spans="15:21" x14ac:dyDescent="0.25">
      <c r="O414"/>
      <c r="P414"/>
      <c r="Q414"/>
      <c r="R414"/>
      <c r="S414"/>
      <c r="T414"/>
      <c r="U414"/>
    </row>
    <row r="415" spans="15:21" x14ac:dyDescent="0.25">
      <c r="O415"/>
      <c r="P415"/>
      <c r="Q415"/>
      <c r="R415"/>
      <c r="S415"/>
      <c r="T415"/>
      <c r="U415"/>
    </row>
    <row r="416" spans="15:21" x14ac:dyDescent="0.25">
      <c r="O416"/>
      <c r="P416"/>
      <c r="Q416"/>
      <c r="R416"/>
      <c r="S416"/>
      <c r="T416"/>
      <c r="U416"/>
    </row>
    <row r="417" spans="15:21" x14ac:dyDescent="0.25">
      <c r="O417"/>
      <c r="P417"/>
      <c r="Q417"/>
      <c r="R417"/>
      <c r="S417"/>
      <c r="T417"/>
      <c r="U417"/>
    </row>
    <row r="418" spans="15:21" x14ac:dyDescent="0.25">
      <c r="O418"/>
      <c r="P418"/>
      <c r="Q418"/>
      <c r="R418"/>
      <c r="S418"/>
      <c r="T418"/>
      <c r="U418"/>
    </row>
    <row r="419" spans="15:21" x14ac:dyDescent="0.25">
      <c r="O419"/>
      <c r="P419"/>
      <c r="Q419"/>
      <c r="R419"/>
      <c r="S419"/>
      <c r="T419"/>
      <c r="U419"/>
    </row>
    <row r="420" spans="15:21" x14ac:dyDescent="0.25">
      <c r="O420"/>
      <c r="P420"/>
      <c r="Q420"/>
      <c r="R420"/>
      <c r="S420"/>
      <c r="T420"/>
      <c r="U420"/>
    </row>
    <row r="421" spans="15:21" x14ac:dyDescent="0.25">
      <c r="O421"/>
      <c r="P421"/>
      <c r="Q421"/>
      <c r="R421"/>
      <c r="S421"/>
      <c r="T421"/>
      <c r="U421"/>
    </row>
    <row r="422" spans="15:21" x14ac:dyDescent="0.25">
      <c r="O422"/>
      <c r="P422"/>
      <c r="Q422"/>
      <c r="R422"/>
      <c r="S422"/>
      <c r="T422"/>
      <c r="U422"/>
    </row>
    <row r="423" spans="15:21" x14ac:dyDescent="0.25">
      <c r="O423"/>
      <c r="P423"/>
      <c r="Q423"/>
      <c r="R423"/>
      <c r="S423"/>
      <c r="T423"/>
      <c r="U423"/>
    </row>
    <row r="424" spans="15:21" x14ac:dyDescent="0.25">
      <c r="O424"/>
      <c r="P424"/>
      <c r="Q424"/>
      <c r="R424"/>
      <c r="S424"/>
      <c r="T424"/>
      <c r="U424"/>
    </row>
    <row r="425" spans="15:21" x14ac:dyDescent="0.25">
      <c r="O425"/>
      <c r="P425"/>
      <c r="Q425"/>
      <c r="R425"/>
      <c r="S425"/>
      <c r="T425"/>
      <c r="U425"/>
    </row>
    <row r="426" spans="15:21" x14ac:dyDescent="0.25">
      <c r="O426"/>
      <c r="P426"/>
      <c r="Q426"/>
      <c r="R426"/>
      <c r="S426"/>
      <c r="T426"/>
      <c r="U426"/>
    </row>
    <row r="427" spans="15:21" x14ac:dyDescent="0.25">
      <c r="O427"/>
      <c r="P427"/>
      <c r="Q427"/>
      <c r="R427"/>
      <c r="S427"/>
      <c r="T427"/>
      <c r="U427"/>
    </row>
    <row r="428" spans="15:21" x14ac:dyDescent="0.25">
      <c r="O428"/>
      <c r="P428"/>
      <c r="Q428"/>
      <c r="R428"/>
      <c r="S428"/>
      <c r="T428"/>
      <c r="U428"/>
    </row>
    <row r="429" spans="15:21" x14ac:dyDescent="0.25">
      <c r="O429"/>
      <c r="P429"/>
      <c r="Q429"/>
      <c r="R429"/>
      <c r="S429"/>
      <c r="T429"/>
      <c r="U429"/>
    </row>
    <row r="430" spans="15:21" x14ac:dyDescent="0.25">
      <c r="O430"/>
      <c r="P430"/>
      <c r="Q430"/>
      <c r="R430"/>
      <c r="S430"/>
      <c r="T430"/>
      <c r="U430"/>
    </row>
    <row r="431" spans="15:21" x14ac:dyDescent="0.25">
      <c r="O431"/>
      <c r="P431"/>
      <c r="Q431"/>
      <c r="R431"/>
      <c r="S431"/>
      <c r="T431"/>
      <c r="U431"/>
    </row>
    <row r="432" spans="15:21" x14ac:dyDescent="0.25">
      <c r="O432"/>
      <c r="P432"/>
      <c r="Q432"/>
      <c r="R432"/>
      <c r="S432"/>
      <c r="T432"/>
      <c r="U432"/>
    </row>
    <row r="433" spans="15:21" x14ac:dyDescent="0.25">
      <c r="O433"/>
      <c r="P433"/>
      <c r="Q433"/>
      <c r="R433"/>
      <c r="S433"/>
      <c r="T433"/>
      <c r="U433"/>
    </row>
    <row r="434" spans="15:21" x14ac:dyDescent="0.25">
      <c r="O434"/>
      <c r="P434"/>
      <c r="Q434"/>
      <c r="R434"/>
      <c r="S434"/>
      <c r="T434"/>
      <c r="U434"/>
    </row>
    <row r="435" spans="15:21" x14ac:dyDescent="0.25">
      <c r="O435"/>
      <c r="P435"/>
      <c r="Q435"/>
      <c r="R435"/>
      <c r="S435"/>
      <c r="T435"/>
      <c r="U435"/>
    </row>
    <row r="436" spans="15:21" x14ac:dyDescent="0.25">
      <c r="O436"/>
      <c r="P436"/>
      <c r="Q436"/>
      <c r="R436"/>
      <c r="S436"/>
      <c r="T436"/>
      <c r="U436"/>
    </row>
    <row r="437" spans="15:21" x14ac:dyDescent="0.25">
      <c r="O437"/>
      <c r="P437"/>
      <c r="Q437"/>
      <c r="R437"/>
      <c r="S437"/>
      <c r="T437"/>
      <c r="U437"/>
    </row>
    <row r="438" spans="15:21" x14ac:dyDescent="0.25">
      <c r="O438"/>
      <c r="P438"/>
      <c r="Q438"/>
      <c r="R438"/>
      <c r="S438"/>
      <c r="T438"/>
      <c r="U438"/>
    </row>
    <row r="439" spans="15:21" x14ac:dyDescent="0.25">
      <c r="O439"/>
      <c r="P439"/>
      <c r="Q439"/>
      <c r="R439"/>
      <c r="S439"/>
      <c r="T439"/>
      <c r="U439"/>
    </row>
    <row r="440" spans="15:21" x14ac:dyDescent="0.25">
      <c r="O440"/>
      <c r="P440"/>
      <c r="Q440"/>
      <c r="R440"/>
      <c r="S440"/>
      <c r="T440"/>
      <c r="U440"/>
    </row>
    <row r="441" spans="15:21" x14ac:dyDescent="0.25">
      <c r="O441"/>
      <c r="P441"/>
      <c r="Q441"/>
      <c r="R441"/>
      <c r="S441"/>
      <c r="T441"/>
      <c r="U441"/>
    </row>
    <row r="442" spans="15:21" x14ac:dyDescent="0.25">
      <c r="O442"/>
      <c r="P442"/>
      <c r="Q442"/>
      <c r="R442"/>
      <c r="S442"/>
      <c r="T442"/>
      <c r="U442"/>
    </row>
    <row r="443" spans="15:21" x14ac:dyDescent="0.25">
      <c r="O443"/>
      <c r="P443"/>
      <c r="Q443"/>
      <c r="R443"/>
      <c r="S443"/>
      <c r="T443"/>
      <c r="U443"/>
    </row>
    <row r="444" spans="15:21" x14ac:dyDescent="0.25">
      <c r="O444"/>
      <c r="P444"/>
      <c r="Q444"/>
      <c r="R444"/>
      <c r="S444"/>
      <c r="T444"/>
      <c r="U444"/>
    </row>
    <row r="445" spans="15:21" x14ac:dyDescent="0.25">
      <c r="O445"/>
      <c r="P445"/>
      <c r="Q445"/>
      <c r="R445"/>
      <c r="S445"/>
      <c r="T445"/>
      <c r="U445"/>
    </row>
    <row r="446" spans="15:21" x14ac:dyDescent="0.25">
      <c r="O446"/>
      <c r="P446"/>
      <c r="Q446"/>
      <c r="R446"/>
      <c r="S446"/>
      <c r="T446"/>
      <c r="U446"/>
    </row>
    <row r="447" spans="15:21" x14ac:dyDescent="0.25">
      <c r="O447"/>
      <c r="P447"/>
      <c r="Q447"/>
      <c r="R447"/>
      <c r="S447"/>
      <c r="T447"/>
      <c r="U447"/>
    </row>
    <row r="448" spans="15:21" x14ac:dyDescent="0.25">
      <c r="O448"/>
      <c r="P448"/>
      <c r="Q448"/>
      <c r="R448"/>
      <c r="S448"/>
      <c r="T448"/>
      <c r="U448"/>
    </row>
    <row r="449" spans="15:21" x14ac:dyDescent="0.25">
      <c r="O449"/>
      <c r="P449"/>
      <c r="Q449"/>
      <c r="R449"/>
      <c r="S449"/>
      <c r="T449"/>
      <c r="U449"/>
    </row>
    <row r="450" spans="15:21" x14ac:dyDescent="0.25">
      <c r="O450"/>
      <c r="P450"/>
      <c r="Q450"/>
      <c r="R450"/>
      <c r="S450"/>
      <c r="T450"/>
      <c r="U450"/>
    </row>
    <row r="451" spans="15:21" x14ac:dyDescent="0.25">
      <c r="O451"/>
      <c r="P451"/>
      <c r="Q451"/>
      <c r="R451"/>
      <c r="S451"/>
      <c r="T451"/>
      <c r="U451"/>
    </row>
    <row r="452" spans="15:21" x14ac:dyDescent="0.25">
      <c r="O452"/>
      <c r="P452"/>
      <c r="Q452"/>
      <c r="R452"/>
      <c r="S452"/>
      <c r="T452"/>
      <c r="U452"/>
    </row>
    <row r="453" spans="15:21" x14ac:dyDescent="0.25">
      <c r="O453"/>
      <c r="P453"/>
      <c r="Q453"/>
      <c r="R453"/>
      <c r="S453"/>
      <c r="T453"/>
      <c r="U453"/>
    </row>
    <row r="454" spans="15:21" x14ac:dyDescent="0.25">
      <c r="O454"/>
      <c r="P454"/>
      <c r="Q454"/>
      <c r="R454"/>
      <c r="S454"/>
      <c r="T454"/>
      <c r="U454"/>
    </row>
    <row r="455" spans="15:21" x14ac:dyDescent="0.25">
      <c r="O455"/>
      <c r="P455"/>
      <c r="Q455"/>
      <c r="R455"/>
      <c r="S455"/>
      <c r="T455"/>
      <c r="U455"/>
    </row>
    <row r="456" spans="15:21" x14ac:dyDescent="0.25">
      <c r="O456"/>
      <c r="P456"/>
      <c r="Q456"/>
      <c r="R456"/>
      <c r="S456"/>
      <c r="T456"/>
      <c r="U456"/>
    </row>
    <row r="457" spans="15:21" x14ac:dyDescent="0.25">
      <c r="O457"/>
      <c r="P457"/>
      <c r="Q457"/>
      <c r="R457"/>
      <c r="S457"/>
      <c r="T457"/>
      <c r="U457"/>
    </row>
    <row r="458" spans="15:21" x14ac:dyDescent="0.25">
      <c r="O458"/>
      <c r="P458"/>
      <c r="Q458"/>
      <c r="R458"/>
      <c r="S458"/>
      <c r="T458"/>
      <c r="U458"/>
    </row>
    <row r="459" spans="15:21" x14ac:dyDescent="0.25">
      <c r="O459"/>
      <c r="P459"/>
      <c r="Q459"/>
      <c r="R459"/>
      <c r="S459"/>
      <c r="T459"/>
      <c r="U459"/>
    </row>
    <row r="460" spans="15:21" x14ac:dyDescent="0.25">
      <c r="O460"/>
      <c r="P460"/>
      <c r="Q460"/>
      <c r="R460"/>
      <c r="S460"/>
      <c r="T460"/>
      <c r="U460"/>
    </row>
    <row r="461" spans="15:21" x14ac:dyDescent="0.25">
      <c r="O461"/>
      <c r="P461"/>
      <c r="Q461"/>
      <c r="R461"/>
      <c r="S461"/>
      <c r="T461"/>
      <c r="U461"/>
    </row>
    <row r="462" spans="15:21" x14ac:dyDescent="0.25">
      <c r="O462"/>
      <c r="P462"/>
      <c r="Q462"/>
      <c r="R462"/>
      <c r="S462"/>
      <c r="T462"/>
      <c r="U462"/>
    </row>
    <row r="463" spans="15:21" x14ac:dyDescent="0.25">
      <c r="O463"/>
      <c r="P463"/>
      <c r="Q463"/>
      <c r="R463"/>
      <c r="S463"/>
      <c r="T463"/>
      <c r="U463"/>
    </row>
    <row r="464" spans="15:21" x14ac:dyDescent="0.25">
      <c r="O464"/>
      <c r="P464"/>
      <c r="Q464"/>
      <c r="R464"/>
      <c r="S464"/>
      <c r="T464"/>
      <c r="U464"/>
    </row>
    <row r="465" spans="15:21" x14ac:dyDescent="0.25">
      <c r="O465"/>
      <c r="P465"/>
      <c r="Q465"/>
      <c r="R465"/>
      <c r="S465"/>
      <c r="T465"/>
      <c r="U465"/>
    </row>
    <row r="466" spans="15:21" x14ac:dyDescent="0.25">
      <c r="O466"/>
      <c r="P466"/>
      <c r="Q466"/>
      <c r="R466"/>
      <c r="S466"/>
      <c r="T466"/>
      <c r="U466"/>
    </row>
    <row r="467" spans="15:21" x14ac:dyDescent="0.25">
      <c r="O467"/>
      <c r="P467"/>
      <c r="Q467"/>
      <c r="R467"/>
      <c r="S467"/>
      <c r="T467"/>
      <c r="U467"/>
    </row>
    <row r="468" spans="15:21" x14ac:dyDescent="0.25">
      <c r="O468"/>
      <c r="P468"/>
      <c r="Q468"/>
      <c r="R468"/>
      <c r="S468"/>
      <c r="T468"/>
      <c r="U468"/>
    </row>
    <row r="469" spans="15:21" x14ac:dyDescent="0.25">
      <c r="O469"/>
      <c r="P469"/>
      <c r="Q469"/>
      <c r="R469"/>
      <c r="S469"/>
      <c r="T469"/>
      <c r="U469"/>
    </row>
    <row r="470" spans="15:21" x14ac:dyDescent="0.25">
      <c r="O470"/>
      <c r="P470"/>
      <c r="Q470"/>
      <c r="R470"/>
      <c r="S470"/>
      <c r="T470"/>
      <c r="U470"/>
    </row>
    <row r="471" spans="15:21" x14ac:dyDescent="0.25">
      <c r="O471"/>
      <c r="P471"/>
      <c r="Q471"/>
      <c r="R471"/>
      <c r="S471"/>
      <c r="T471"/>
      <c r="U471"/>
    </row>
    <row r="472" spans="15:21" x14ac:dyDescent="0.25">
      <c r="O472"/>
      <c r="P472"/>
      <c r="Q472"/>
      <c r="R472"/>
      <c r="S472"/>
      <c r="T472"/>
      <c r="U472"/>
    </row>
    <row r="473" spans="15:21" x14ac:dyDescent="0.25">
      <c r="O473"/>
      <c r="P473"/>
      <c r="Q473"/>
      <c r="R473"/>
      <c r="S473"/>
      <c r="T473"/>
      <c r="U473"/>
    </row>
    <row r="474" spans="15:21" x14ac:dyDescent="0.25">
      <c r="O474"/>
      <c r="P474"/>
      <c r="Q474"/>
      <c r="R474"/>
      <c r="S474"/>
      <c r="T474"/>
      <c r="U474"/>
    </row>
    <row r="475" spans="15:21" x14ac:dyDescent="0.25">
      <c r="O475"/>
      <c r="P475"/>
      <c r="Q475"/>
      <c r="R475"/>
      <c r="S475"/>
      <c r="T475"/>
      <c r="U475"/>
    </row>
    <row r="476" spans="15:21" x14ac:dyDescent="0.25">
      <c r="O476"/>
      <c r="P476"/>
      <c r="Q476"/>
      <c r="R476"/>
      <c r="S476"/>
      <c r="T476"/>
      <c r="U476"/>
    </row>
    <row r="477" spans="15:21" x14ac:dyDescent="0.25">
      <c r="O477"/>
      <c r="P477"/>
      <c r="Q477"/>
      <c r="R477"/>
      <c r="S477"/>
      <c r="T477"/>
      <c r="U477"/>
    </row>
    <row r="478" spans="15:21" x14ac:dyDescent="0.25">
      <c r="O478"/>
      <c r="P478"/>
      <c r="Q478"/>
      <c r="R478"/>
      <c r="S478"/>
      <c r="T478"/>
      <c r="U478"/>
    </row>
    <row r="479" spans="15:21" x14ac:dyDescent="0.25">
      <c r="O479"/>
      <c r="P479"/>
      <c r="Q479"/>
      <c r="R479"/>
      <c r="S479"/>
      <c r="T479"/>
      <c r="U479"/>
    </row>
    <row r="480" spans="15:21" x14ac:dyDescent="0.25">
      <c r="O480"/>
      <c r="P480"/>
      <c r="Q480"/>
      <c r="R480"/>
      <c r="S480"/>
      <c r="T480"/>
      <c r="U480"/>
    </row>
    <row r="481" spans="15:21" x14ac:dyDescent="0.25">
      <c r="O481"/>
      <c r="P481"/>
      <c r="Q481"/>
      <c r="R481"/>
      <c r="S481"/>
      <c r="T481"/>
      <c r="U481"/>
    </row>
    <row r="482" spans="15:21" x14ac:dyDescent="0.25">
      <c r="O482"/>
      <c r="P482"/>
      <c r="Q482"/>
      <c r="R482"/>
      <c r="S482"/>
      <c r="T482"/>
      <c r="U482"/>
    </row>
    <row r="483" spans="15:21" x14ac:dyDescent="0.25">
      <c r="O483"/>
      <c r="P483"/>
      <c r="Q483"/>
      <c r="R483"/>
      <c r="S483"/>
      <c r="T483"/>
      <c r="U483"/>
    </row>
    <row r="484" spans="15:21" x14ac:dyDescent="0.25">
      <c r="O484"/>
      <c r="P484"/>
      <c r="Q484"/>
      <c r="R484"/>
      <c r="S484"/>
      <c r="T484"/>
      <c r="U484"/>
    </row>
    <row r="485" spans="15:21" x14ac:dyDescent="0.25">
      <c r="O485"/>
      <c r="P485"/>
      <c r="Q485"/>
      <c r="R485"/>
      <c r="S485"/>
      <c r="T485"/>
      <c r="U485"/>
    </row>
    <row r="486" spans="15:21" x14ac:dyDescent="0.25">
      <c r="O486"/>
      <c r="P486"/>
      <c r="Q486"/>
      <c r="R486"/>
      <c r="S486"/>
      <c r="T486"/>
      <c r="U486"/>
    </row>
    <row r="487" spans="15:21" x14ac:dyDescent="0.25">
      <c r="O487"/>
      <c r="P487"/>
      <c r="Q487"/>
      <c r="R487"/>
      <c r="S487"/>
      <c r="T487"/>
      <c r="U487"/>
    </row>
    <row r="488" spans="15:21" x14ac:dyDescent="0.25">
      <c r="O488"/>
      <c r="P488"/>
      <c r="Q488"/>
      <c r="R488"/>
      <c r="S488"/>
      <c r="T488"/>
      <c r="U488"/>
    </row>
    <row r="489" spans="15:21" x14ac:dyDescent="0.25">
      <c r="O489"/>
      <c r="P489"/>
      <c r="Q489"/>
      <c r="R489"/>
      <c r="S489"/>
      <c r="T489"/>
      <c r="U489"/>
    </row>
    <row r="490" spans="15:21" x14ac:dyDescent="0.25">
      <c r="O490"/>
      <c r="P490"/>
      <c r="Q490"/>
      <c r="R490"/>
      <c r="S490"/>
      <c r="T490"/>
      <c r="U490"/>
    </row>
    <row r="491" spans="15:21" x14ac:dyDescent="0.25">
      <c r="O491"/>
      <c r="P491"/>
      <c r="Q491"/>
      <c r="R491"/>
      <c r="S491"/>
      <c r="T491"/>
      <c r="U491"/>
    </row>
    <row r="492" spans="15:21" x14ac:dyDescent="0.25">
      <c r="O492"/>
      <c r="P492"/>
      <c r="Q492"/>
      <c r="R492"/>
      <c r="S492"/>
      <c r="T492"/>
      <c r="U492"/>
    </row>
    <row r="493" spans="15:21" x14ac:dyDescent="0.25">
      <c r="O493"/>
      <c r="P493"/>
      <c r="Q493"/>
      <c r="R493"/>
      <c r="S493"/>
      <c r="T493"/>
      <c r="U493"/>
    </row>
    <row r="494" spans="15:21" x14ac:dyDescent="0.25">
      <c r="O494"/>
      <c r="P494"/>
      <c r="Q494"/>
      <c r="R494"/>
      <c r="S494"/>
      <c r="T494"/>
      <c r="U494"/>
    </row>
    <row r="495" spans="15:21" x14ac:dyDescent="0.25">
      <c r="O495"/>
      <c r="P495"/>
      <c r="Q495"/>
      <c r="R495"/>
      <c r="S495"/>
      <c r="T495"/>
      <c r="U495"/>
    </row>
    <row r="496" spans="15:21" x14ac:dyDescent="0.25">
      <c r="O496"/>
      <c r="P496"/>
      <c r="Q496"/>
      <c r="R496"/>
      <c r="S496"/>
      <c r="T496"/>
      <c r="U496"/>
    </row>
    <row r="497" spans="15:21" x14ac:dyDescent="0.25">
      <c r="O497"/>
      <c r="P497"/>
      <c r="Q497"/>
      <c r="R497"/>
      <c r="S497"/>
      <c r="T497"/>
      <c r="U497"/>
    </row>
    <row r="498" spans="15:21" x14ac:dyDescent="0.25">
      <c r="O498"/>
      <c r="P498"/>
      <c r="Q498"/>
      <c r="R498"/>
      <c r="S498"/>
      <c r="T498"/>
      <c r="U498"/>
    </row>
    <row r="499" spans="15:21" x14ac:dyDescent="0.25">
      <c r="O499"/>
      <c r="P499"/>
      <c r="Q499"/>
      <c r="R499"/>
      <c r="S499"/>
      <c r="T499"/>
      <c r="U499"/>
    </row>
    <row r="500" spans="15:21" x14ac:dyDescent="0.25">
      <c r="O500"/>
      <c r="P500"/>
      <c r="Q500"/>
      <c r="R500"/>
      <c r="S500"/>
      <c r="T500"/>
      <c r="U500"/>
    </row>
    <row r="501" spans="15:21" x14ac:dyDescent="0.25">
      <c r="O501"/>
      <c r="P501"/>
      <c r="Q501"/>
      <c r="R501"/>
      <c r="S501"/>
      <c r="T501"/>
      <c r="U501"/>
    </row>
    <row r="502" spans="15:21" x14ac:dyDescent="0.25">
      <c r="O502"/>
      <c r="P502"/>
      <c r="Q502"/>
      <c r="R502"/>
      <c r="S502"/>
      <c r="T502"/>
      <c r="U502"/>
    </row>
    <row r="503" spans="15:21" x14ac:dyDescent="0.25">
      <c r="O503"/>
      <c r="P503"/>
      <c r="Q503"/>
      <c r="R503"/>
      <c r="S503"/>
      <c r="T503"/>
      <c r="U503"/>
    </row>
    <row r="504" spans="15:21" x14ac:dyDescent="0.25">
      <c r="O504"/>
      <c r="P504"/>
      <c r="Q504"/>
      <c r="R504"/>
      <c r="S504"/>
      <c r="T504"/>
      <c r="U504"/>
    </row>
    <row r="505" spans="15:21" x14ac:dyDescent="0.25">
      <c r="O505"/>
      <c r="P505"/>
      <c r="Q505"/>
      <c r="R505"/>
      <c r="S505"/>
      <c r="T505"/>
      <c r="U505"/>
    </row>
    <row r="506" spans="15:21" x14ac:dyDescent="0.25">
      <c r="O506"/>
      <c r="P506"/>
      <c r="Q506"/>
      <c r="R506"/>
      <c r="S506"/>
      <c r="T506"/>
      <c r="U506"/>
    </row>
    <row r="507" spans="15:21" x14ac:dyDescent="0.25">
      <c r="O507"/>
      <c r="P507"/>
      <c r="Q507"/>
      <c r="R507"/>
      <c r="S507"/>
      <c r="T507"/>
      <c r="U507"/>
    </row>
    <row r="508" spans="15:21" x14ac:dyDescent="0.25">
      <c r="O508"/>
      <c r="P508"/>
      <c r="Q508"/>
      <c r="R508"/>
      <c r="S508"/>
      <c r="T508"/>
      <c r="U508"/>
    </row>
    <row r="509" spans="15:21" x14ac:dyDescent="0.25">
      <c r="O509"/>
      <c r="P509"/>
      <c r="Q509"/>
      <c r="R509"/>
      <c r="S509"/>
      <c r="T509"/>
      <c r="U509"/>
    </row>
    <row r="510" spans="15:21" x14ac:dyDescent="0.25">
      <c r="O510"/>
      <c r="P510"/>
      <c r="Q510"/>
      <c r="R510"/>
      <c r="S510"/>
      <c r="T510"/>
      <c r="U510"/>
    </row>
    <row r="511" spans="15:21" x14ac:dyDescent="0.25">
      <c r="O511"/>
      <c r="P511"/>
      <c r="Q511"/>
      <c r="R511"/>
      <c r="S511"/>
      <c r="T511"/>
      <c r="U511"/>
    </row>
    <row r="512" spans="15:21" x14ac:dyDescent="0.25">
      <c r="O512"/>
      <c r="P512"/>
      <c r="Q512"/>
      <c r="R512"/>
      <c r="S512"/>
      <c r="T512"/>
      <c r="U512"/>
    </row>
    <row r="513" spans="15:21" x14ac:dyDescent="0.25">
      <c r="O513"/>
      <c r="P513"/>
      <c r="Q513"/>
      <c r="R513"/>
      <c r="S513"/>
      <c r="T513"/>
      <c r="U513"/>
    </row>
    <row r="514" spans="15:21" x14ac:dyDescent="0.25">
      <c r="O514"/>
      <c r="P514"/>
      <c r="Q514"/>
      <c r="R514"/>
      <c r="S514"/>
      <c r="T514"/>
      <c r="U514"/>
    </row>
    <row r="515" spans="15:21" x14ac:dyDescent="0.25">
      <c r="O515"/>
      <c r="P515"/>
      <c r="Q515"/>
      <c r="R515"/>
      <c r="S515"/>
      <c r="T515"/>
      <c r="U515"/>
    </row>
    <row r="516" spans="15:21" x14ac:dyDescent="0.25">
      <c r="O516"/>
      <c r="P516"/>
      <c r="Q516"/>
      <c r="R516"/>
      <c r="S516"/>
      <c r="T516"/>
      <c r="U516"/>
    </row>
    <row r="517" spans="15:21" x14ac:dyDescent="0.25">
      <c r="O517"/>
      <c r="P517"/>
      <c r="Q517"/>
      <c r="R517"/>
      <c r="S517"/>
      <c r="T517"/>
      <c r="U517"/>
    </row>
    <row r="518" spans="15:21" x14ac:dyDescent="0.25">
      <c r="O518"/>
      <c r="P518"/>
      <c r="Q518"/>
      <c r="R518"/>
      <c r="S518"/>
      <c r="T518"/>
      <c r="U518"/>
    </row>
    <row r="519" spans="15:21" x14ac:dyDescent="0.25">
      <c r="O519"/>
      <c r="P519"/>
      <c r="Q519"/>
      <c r="R519"/>
      <c r="S519"/>
      <c r="T519"/>
      <c r="U519"/>
    </row>
    <row r="520" spans="15:21" x14ac:dyDescent="0.25">
      <c r="O520"/>
      <c r="P520"/>
      <c r="Q520"/>
      <c r="R520"/>
      <c r="S520"/>
      <c r="T520"/>
      <c r="U520"/>
    </row>
    <row r="521" spans="15:21" x14ac:dyDescent="0.25">
      <c r="O521"/>
      <c r="P521"/>
      <c r="Q521"/>
      <c r="R521"/>
      <c r="S521"/>
      <c r="T521"/>
      <c r="U521"/>
    </row>
    <row r="522" spans="15:21" x14ac:dyDescent="0.25">
      <c r="O522"/>
      <c r="P522"/>
      <c r="Q522"/>
      <c r="R522"/>
      <c r="S522"/>
      <c r="T522"/>
      <c r="U522"/>
    </row>
    <row r="523" spans="15:21" x14ac:dyDescent="0.25">
      <c r="O523"/>
      <c r="P523"/>
      <c r="Q523"/>
      <c r="R523"/>
      <c r="S523"/>
      <c r="T523"/>
      <c r="U523"/>
    </row>
    <row r="524" spans="15:21" x14ac:dyDescent="0.25">
      <c r="O524"/>
      <c r="P524"/>
      <c r="Q524"/>
      <c r="R524"/>
      <c r="S524"/>
      <c r="T524"/>
      <c r="U524"/>
    </row>
    <row r="525" spans="15:21" x14ac:dyDescent="0.25">
      <c r="O525"/>
      <c r="P525"/>
      <c r="Q525"/>
      <c r="R525"/>
      <c r="S525"/>
      <c r="T525"/>
      <c r="U525"/>
    </row>
    <row r="526" spans="15:21" x14ac:dyDescent="0.25">
      <c r="O526"/>
      <c r="P526"/>
      <c r="Q526"/>
      <c r="R526"/>
      <c r="S526"/>
      <c r="T526"/>
      <c r="U526"/>
    </row>
    <row r="527" spans="15:21" x14ac:dyDescent="0.25">
      <c r="O527"/>
      <c r="P527"/>
      <c r="Q527"/>
      <c r="R527"/>
      <c r="S527"/>
      <c r="T527"/>
      <c r="U527"/>
    </row>
    <row r="528" spans="15:21" x14ac:dyDescent="0.25">
      <c r="O528"/>
      <c r="P528"/>
      <c r="Q528"/>
      <c r="R528"/>
      <c r="S528"/>
      <c r="T528"/>
      <c r="U528"/>
    </row>
    <row r="529" spans="15:21" x14ac:dyDescent="0.25">
      <c r="O529"/>
      <c r="P529"/>
      <c r="Q529"/>
      <c r="R529"/>
      <c r="S529"/>
      <c r="T529"/>
      <c r="U529"/>
    </row>
    <row r="530" spans="15:21" x14ac:dyDescent="0.25">
      <c r="O530"/>
      <c r="P530"/>
      <c r="Q530"/>
      <c r="R530"/>
      <c r="S530"/>
      <c r="T530"/>
      <c r="U530"/>
    </row>
    <row r="531" spans="15:21" x14ac:dyDescent="0.25">
      <c r="O531"/>
      <c r="P531"/>
      <c r="Q531"/>
      <c r="R531"/>
      <c r="S531"/>
      <c r="T531"/>
      <c r="U531"/>
    </row>
    <row r="532" spans="15:21" x14ac:dyDescent="0.25">
      <c r="O532"/>
      <c r="P532"/>
      <c r="Q532"/>
      <c r="R532"/>
      <c r="S532"/>
      <c r="T532"/>
      <c r="U532"/>
    </row>
    <row r="533" spans="15:21" x14ac:dyDescent="0.25">
      <c r="O533"/>
      <c r="P533"/>
      <c r="Q533"/>
      <c r="R533"/>
      <c r="S533"/>
      <c r="T533"/>
      <c r="U533"/>
    </row>
    <row r="534" spans="15:21" x14ac:dyDescent="0.25">
      <c r="O534"/>
      <c r="P534"/>
      <c r="Q534"/>
      <c r="R534"/>
      <c r="S534"/>
      <c r="T534"/>
      <c r="U534"/>
    </row>
    <row r="535" spans="15:21" x14ac:dyDescent="0.25">
      <c r="O535"/>
      <c r="P535"/>
      <c r="Q535"/>
      <c r="R535"/>
      <c r="S535"/>
      <c r="T535"/>
      <c r="U535"/>
    </row>
    <row r="536" spans="15:21" x14ac:dyDescent="0.25">
      <c r="O536"/>
      <c r="P536"/>
      <c r="Q536"/>
      <c r="R536"/>
      <c r="S536"/>
      <c r="T536"/>
      <c r="U536"/>
    </row>
    <row r="537" spans="15:21" x14ac:dyDescent="0.25">
      <c r="O537"/>
      <c r="P537"/>
      <c r="Q537"/>
      <c r="R537"/>
      <c r="S537"/>
      <c r="T537"/>
      <c r="U537"/>
    </row>
    <row r="538" spans="15:21" x14ac:dyDescent="0.25">
      <c r="O538"/>
      <c r="P538"/>
      <c r="Q538"/>
      <c r="R538"/>
      <c r="S538"/>
      <c r="T538"/>
      <c r="U538"/>
    </row>
    <row r="539" spans="15:21" x14ac:dyDescent="0.25">
      <c r="O539"/>
      <c r="P539"/>
      <c r="Q539"/>
      <c r="R539"/>
      <c r="S539"/>
      <c r="T539"/>
      <c r="U539"/>
    </row>
    <row r="540" spans="15:21" x14ac:dyDescent="0.25">
      <c r="O540"/>
      <c r="P540"/>
      <c r="Q540"/>
      <c r="R540"/>
      <c r="S540"/>
      <c r="T540"/>
      <c r="U540"/>
    </row>
    <row r="541" spans="15:21" x14ac:dyDescent="0.25">
      <c r="O541"/>
      <c r="P541"/>
      <c r="Q541"/>
      <c r="R541"/>
      <c r="S541"/>
      <c r="T541"/>
      <c r="U541"/>
    </row>
    <row r="542" spans="15:21" x14ac:dyDescent="0.25">
      <c r="O542"/>
      <c r="P542"/>
      <c r="Q542"/>
      <c r="R542"/>
      <c r="S542"/>
      <c r="T542"/>
      <c r="U542"/>
    </row>
    <row r="543" spans="15:21" x14ac:dyDescent="0.25">
      <c r="O543"/>
      <c r="P543"/>
      <c r="Q543"/>
      <c r="R543"/>
      <c r="S543"/>
      <c r="T543"/>
      <c r="U543"/>
    </row>
    <row r="544" spans="15:21" x14ac:dyDescent="0.25">
      <c r="O544"/>
      <c r="P544"/>
      <c r="Q544"/>
      <c r="R544"/>
      <c r="S544"/>
      <c r="T544"/>
      <c r="U544"/>
    </row>
    <row r="545" spans="15:21" x14ac:dyDescent="0.25">
      <c r="O545"/>
      <c r="P545"/>
      <c r="Q545"/>
      <c r="R545"/>
      <c r="S545"/>
      <c r="T545"/>
      <c r="U545"/>
    </row>
    <row r="546" spans="15:21" x14ac:dyDescent="0.25">
      <c r="O546"/>
      <c r="P546"/>
      <c r="Q546"/>
      <c r="R546"/>
      <c r="S546"/>
      <c r="T546"/>
      <c r="U546"/>
    </row>
    <row r="547" spans="15:21" x14ac:dyDescent="0.25">
      <c r="O547"/>
      <c r="P547"/>
      <c r="Q547"/>
      <c r="R547"/>
      <c r="S547"/>
      <c r="T547"/>
      <c r="U547"/>
    </row>
    <row r="548" spans="15:21" x14ac:dyDescent="0.25">
      <c r="O548"/>
      <c r="P548"/>
      <c r="Q548"/>
      <c r="R548"/>
      <c r="S548"/>
      <c r="T548"/>
      <c r="U548"/>
    </row>
    <row r="549" spans="15:21" x14ac:dyDescent="0.25">
      <c r="O549"/>
      <c r="P549"/>
      <c r="Q549"/>
      <c r="R549"/>
      <c r="S549"/>
      <c r="T549"/>
      <c r="U549"/>
    </row>
    <row r="550" spans="15:21" x14ac:dyDescent="0.25">
      <c r="O550"/>
      <c r="P550"/>
      <c r="Q550"/>
      <c r="R550"/>
      <c r="S550"/>
      <c r="T550"/>
      <c r="U550"/>
    </row>
  </sheetData>
  <sheetProtection sheet="1" objects="1" scenarios="1" formatCells="0" autoFilter="0" pivotTables="0"/>
  <autoFilter ref="A2:M2" xr:uid="{79C49298-D291-40B6-AFBD-6FFDC6E387A6}"/>
  <conditionalFormatting sqref="K1:L2 K3:K200">
    <cfRule type="expression" dxfId="25" priority="3">
      <formula>$I$3=$K$3</formula>
    </cfRule>
  </conditionalFormatting>
  <conditionalFormatting sqref="M1:M200">
    <cfRule type="containsText" dxfId="24" priority="2" operator="containsText" text="Yes">
      <formula>NOT(ISERROR(SEARCH("Yes",M1)))</formula>
    </cfRule>
  </conditionalFormatting>
  <conditionalFormatting sqref="G1:G1048576">
    <cfRule type="cellIs" dxfId="23" priority="1" operator="lessThan">
      <formula>0</formula>
    </cfRule>
  </conditionalFormatting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750B-DBEA-4798-BF30-4EB0E3DF2C1B}">
  <sheetPr codeName="Sheet2"/>
  <dimension ref="A1:P301"/>
  <sheetViews>
    <sheetView tabSelected="1" workbookViewId="0">
      <selection activeCell="A3" sqref="A3"/>
    </sheetView>
  </sheetViews>
  <sheetFormatPr defaultColWidth="8.5703125" defaultRowHeight="15" x14ac:dyDescent="0.25"/>
  <cols>
    <col min="1" max="1" width="40.42578125" style="30" customWidth="1"/>
    <col min="2" max="2" width="30" style="30" bestFit="1" customWidth="1"/>
    <col min="3" max="3" width="12.85546875" style="30" customWidth="1"/>
    <col min="4" max="4" width="8.5703125" style="30"/>
    <col min="5" max="5" width="16.42578125" style="65" customWidth="1"/>
    <col min="6" max="6" width="16" style="65" customWidth="1"/>
    <col min="7" max="7" width="22.140625" style="65" bestFit="1" customWidth="1"/>
    <col min="8" max="8" width="18" style="65" bestFit="1" customWidth="1"/>
    <col min="9" max="9" width="23.7109375" style="65" bestFit="1" customWidth="1"/>
    <col min="10" max="10" width="21.42578125" style="65" bestFit="1" customWidth="1"/>
    <col min="11" max="11" width="22.42578125" style="30" bestFit="1" customWidth="1"/>
    <col min="12" max="12" width="19.42578125" style="30" bestFit="1" customWidth="1"/>
    <col min="13" max="13" width="10.5703125" style="30" bestFit="1" customWidth="1"/>
    <col min="14" max="16384" width="8.5703125" style="30"/>
  </cols>
  <sheetData>
    <row r="1" spans="1:16" x14ac:dyDescent="0.25">
      <c r="A1" s="26" t="s">
        <v>184</v>
      </c>
      <c r="B1" s="26"/>
      <c r="C1" s="26"/>
      <c r="E1" s="64"/>
    </row>
    <row r="2" spans="1:16" x14ac:dyDescent="0.25">
      <c r="E2"/>
      <c r="F2"/>
      <c r="G2"/>
      <c r="H2"/>
      <c r="I2"/>
    </row>
    <row r="3" spans="1:16" x14ac:dyDescent="0.25">
      <c r="A3" s="104" t="s">
        <v>824</v>
      </c>
      <c r="B3" s="21"/>
      <c r="C3"/>
      <c r="D3"/>
      <c r="E3"/>
      <c r="F3"/>
      <c r="G3"/>
      <c r="H3"/>
      <c r="I3"/>
      <c r="J3"/>
      <c r="K3"/>
    </row>
    <row r="4" spans="1:16" x14ac:dyDescent="0.25">
      <c r="A4"/>
      <c r="B4" s="21"/>
      <c r="C4"/>
      <c r="D4"/>
      <c r="E4"/>
      <c r="F4"/>
      <c r="G4"/>
      <c r="H4"/>
      <c r="I4"/>
      <c r="J4"/>
      <c r="K4"/>
    </row>
    <row r="5" spans="1:16" x14ac:dyDescent="0.25">
      <c r="A5" s="1" t="s">
        <v>185</v>
      </c>
      <c r="B5" s="21"/>
      <c r="C5"/>
      <c r="D5"/>
      <c r="E5"/>
      <c r="F5"/>
      <c r="G5"/>
      <c r="H5"/>
      <c r="I5"/>
      <c r="J5"/>
      <c r="K5"/>
    </row>
    <row r="6" spans="1:16" ht="60" x14ac:dyDescent="0.25">
      <c r="A6" s="95" t="s">
        <v>18</v>
      </c>
      <c r="B6" s="96" t="s">
        <v>19</v>
      </c>
      <c r="C6" s="96" t="s">
        <v>186</v>
      </c>
      <c r="D6" s="96" t="s">
        <v>21</v>
      </c>
      <c r="E6" s="96" t="s">
        <v>22</v>
      </c>
      <c r="F6" s="96" t="s">
        <v>23</v>
      </c>
      <c r="G6" s="21"/>
      <c r="H6" s="21"/>
      <c r="I6"/>
      <c r="J6"/>
      <c r="K6"/>
    </row>
    <row r="7" spans="1:16" ht="15.75" thickBot="1" x14ac:dyDescent="0.3">
      <c r="A7" s="101"/>
      <c r="B7" s="102">
        <f>SUM(B8:B18)</f>
        <v>24.985507246376812</v>
      </c>
      <c r="C7" s="102">
        <f t="shared" ref="C7:F7" si="0">SUM(C8:C18)</f>
        <v>0</v>
      </c>
      <c r="D7" s="102">
        <f t="shared" si="0"/>
        <v>0</v>
      </c>
      <c r="E7" s="102">
        <f t="shared" si="0"/>
        <v>4.9855072463768115</v>
      </c>
      <c r="F7" s="102">
        <f t="shared" si="0"/>
        <v>0</v>
      </c>
      <c r="G7"/>
      <c r="H7"/>
      <c r="I7"/>
      <c r="J7"/>
      <c r="K7"/>
      <c r="L7"/>
      <c r="M7"/>
      <c r="N7"/>
      <c r="O7"/>
    </row>
    <row r="8" spans="1:16" x14ac:dyDescent="0.25">
      <c r="A8" s="99" t="str" cm="1">
        <f t="array" ref="A8:A10">_xlfn.UNIQUE(_xlfn._xlws.FILTER('Data Entry - Teaching'!A:A,'Data Entry - Teaching'!C:C=$A$3,""))</f>
        <v>CITS2401</v>
      </c>
      <c r="B8" s="100">
        <f>SUMIFS('Data Entry - Teaching'!J:J,'Data Entry - Teaching'!$A:$A,'Report - Staff Member'!$A8,'Data Entry - Teaching'!$C:$C,$A$3)</f>
        <v>20</v>
      </c>
      <c r="C8" s="100">
        <f>SUMIFS('Data Entry - Teaching'!L:L,'Data Entry - Teaching'!$A:$A,'Report - Staff Member'!$A8,'Data Entry - Teaching'!$C:$C,$A$3)</f>
        <v>0</v>
      </c>
      <c r="D8" s="100">
        <f>SUMIFS('Data Entry - Teaching'!N:N,'Data Entry - Teaching'!$A:$A,'Report - Staff Member'!$A8,'Data Entry - Teaching'!$C:$C,$A$3)</f>
        <v>0</v>
      </c>
      <c r="E8" s="100">
        <f>SUMIFS('Data Entry - Teaching'!P:P,'Data Entry - Teaching'!$A:$A,'Report - Staff Member'!$A8,'Data Entry - Teaching'!$C:$C,$A$3)</f>
        <v>0</v>
      </c>
      <c r="F8" s="100">
        <f>SUMIFS('Data Entry - Teaching'!R:R,'Data Entry - Teaching'!$A:$A,'Report - Staff Member'!$A8,'Data Entry - Teaching'!$C:$C,$A$3)</f>
        <v>0</v>
      </c>
      <c r="G8"/>
      <c r="H8"/>
      <c r="I8"/>
      <c r="J8"/>
      <c r="K8"/>
      <c r="L8"/>
      <c r="M8"/>
      <c r="N8"/>
      <c r="O8"/>
      <c r="P8"/>
    </row>
    <row r="9" spans="1:16" x14ac:dyDescent="0.25">
      <c r="A9" s="85" t="str">
        <v>CITS4010</v>
      </c>
      <c r="B9" s="40">
        <f>SUMIFS('Data Entry - Teaching'!J:J,'Data Entry - Teaching'!$A:$A,'Report - Staff Member'!$A9,'Data Entry - Teaching'!$C:$C,$A$3)</f>
        <v>1.2463768115942029</v>
      </c>
      <c r="C9" s="40">
        <f>SUMIFS('Data Entry - Teaching'!L:L,'Data Entry - Teaching'!$A:$A,'Report - Staff Member'!$A9,'Data Entry - Teaching'!$C:$C,$A$3)</f>
        <v>0</v>
      </c>
      <c r="D9" s="40">
        <f>SUMIFS('Data Entry - Teaching'!N:N,'Data Entry - Teaching'!$A:$A,'Report - Staff Member'!$A9,'Data Entry - Teaching'!$C:$C,$A$3)</f>
        <v>0</v>
      </c>
      <c r="E9" s="40">
        <f>SUMIFS('Data Entry - Teaching'!P:P,'Data Entry - Teaching'!$A:$A,'Report - Staff Member'!$A9,'Data Entry - Teaching'!$C:$C,$A$3)</f>
        <v>1.2463768115942029</v>
      </c>
      <c r="F9" s="40">
        <f>SUMIFS('Data Entry - Teaching'!R:R,'Data Entry - Teaching'!$A:$A,'Report - Staff Member'!$A9,'Data Entry - Teaching'!$C:$C,$A$3)</f>
        <v>0</v>
      </c>
      <c r="G9"/>
      <c r="H9"/>
      <c r="I9"/>
      <c r="J9"/>
      <c r="K9"/>
      <c r="L9"/>
      <c r="M9"/>
      <c r="N9"/>
      <c r="O9"/>
      <c r="P9"/>
    </row>
    <row r="10" spans="1:16" x14ac:dyDescent="0.25">
      <c r="A10" s="85" t="str">
        <v>CITS4011</v>
      </c>
      <c r="B10" s="40">
        <f>SUMIFS('Data Entry - Teaching'!J:J,'Data Entry - Teaching'!$A:$A,'Report - Staff Member'!$A10,'Data Entry - Teaching'!$C:$C,$A$3)</f>
        <v>3.7391304347826089</v>
      </c>
      <c r="C10" s="40">
        <f>SUMIFS('Data Entry - Teaching'!L:L,'Data Entry - Teaching'!$A:$A,'Report - Staff Member'!$A10,'Data Entry - Teaching'!$C:$C,$A$3)</f>
        <v>0</v>
      </c>
      <c r="D10" s="40">
        <f>SUMIFS('Data Entry - Teaching'!N:N,'Data Entry - Teaching'!$A:$A,'Report - Staff Member'!$A10,'Data Entry - Teaching'!$C:$C,$A$3)</f>
        <v>0</v>
      </c>
      <c r="E10" s="40">
        <f>SUMIFS('Data Entry - Teaching'!P:P,'Data Entry - Teaching'!$A:$A,'Report - Staff Member'!$A10,'Data Entry - Teaching'!$C:$C,$A$3)</f>
        <v>3.7391304347826089</v>
      </c>
      <c r="F10" s="40">
        <f>SUMIFS('Data Entry - Teaching'!R:R,'Data Entry - Teaching'!$A:$A,'Report - Staff Member'!$A10,'Data Entry - Teaching'!$C:$C,$A$3)</f>
        <v>0</v>
      </c>
      <c r="G10"/>
      <c r="H10"/>
      <c r="I10"/>
      <c r="J10"/>
      <c r="K10"/>
      <c r="L10"/>
      <c r="M10"/>
      <c r="N10"/>
      <c r="O10"/>
      <c r="P10"/>
    </row>
    <row r="11" spans="1:16" x14ac:dyDescent="0.25">
      <c r="A11" s="85"/>
      <c r="B11" s="40">
        <f>SUMIFS('Data Entry - Teaching'!J:J,'Data Entry - Teaching'!$A:$A,'Report - Staff Member'!$A11,'Data Entry - Teaching'!$C:$C,$A$3)</f>
        <v>0</v>
      </c>
      <c r="C11" s="40">
        <f>SUMIFS('Data Entry - Teaching'!L:L,'Data Entry - Teaching'!$A:$A,'Report - Staff Member'!$A11,'Data Entry - Teaching'!$C:$C,$A$3)</f>
        <v>0</v>
      </c>
      <c r="D11" s="40">
        <f>SUMIFS('Data Entry - Teaching'!N:N,'Data Entry - Teaching'!$A:$A,'Report - Staff Member'!$A11,'Data Entry - Teaching'!$C:$C,$A$3)</f>
        <v>0</v>
      </c>
      <c r="E11" s="40">
        <f>SUMIFS('Data Entry - Teaching'!P:P,'Data Entry - Teaching'!$A:$A,'Report - Staff Member'!$A11,'Data Entry - Teaching'!$C:$C,$A$3)</f>
        <v>0</v>
      </c>
      <c r="F11" s="40">
        <f>SUMIFS('Data Entry - Teaching'!R:R,'Data Entry - Teaching'!$A:$A,'Report - Staff Member'!$A11,'Data Entry - Teaching'!$C:$C,$A$3)</f>
        <v>0</v>
      </c>
      <c r="G11"/>
      <c r="H11"/>
      <c r="I11"/>
      <c r="J11"/>
      <c r="K11"/>
      <c r="L11"/>
      <c r="M11"/>
      <c r="N11"/>
      <c r="O11"/>
      <c r="P11"/>
    </row>
    <row r="12" spans="1:16" x14ac:dyDescent="0.25">
      <c r="A12" s="85"/>
      <c r="B12" s="40">
        <f>SUMIFS('Data Entry - Teaching'!J:J,'Data Entry - Teaching'!$A:$A,'Report - Staff Member'!$A12,'Data Entry - Teaching'!$C:$C,$A$3)</f>
        <v>0</v>
      </c>
      <c r="C12" s="40">
        <f>SUMIFS('Data Entry - Teaching'!L:L,'Data Entry - Teaching'!$A:$A,'Report - Staff Member'!$A12,'Data Entry - Teaching'!$C:$C,$A$3)</f>
        <v>0</v>
      </c>
      <c r="D12" s="40">
        <f>SUMIFS('Data Entry - Teaching'!N:N,'Data Entry - Teaching'!$A:$A,'Report - Staff Member'!$A12,'Data Entry - Teaching'!$C:$C,$A$3)</f>
        <v>0</v>
      </c>
      <c r="E12" s="40">
        <f>SUMIFS('Data Entry - Teaching'!P:P,'Data Entry - Teaching'!$A:$A,'Report - Staff Member'!$A12,'Data Entry - Teaching'!$C:$C,$A$3)</f>
        <v>0</v>
      </c>
      <c r="F12" s="40">
        <f>SUMIFS('Data Entry - Teaching'!R:R,'Data Entry - Teaching'!$A:$A,'Report - Staff Member'!$A12,'Data Entry - Teaching'!$C:$C,$A$3)</f>
        <v>0</v>
      </c>
      <c r="G12"/>
      <c r="H12"/>
      <c r="I12"/>
      <c r="J12"/>
      <c r="K12"/>
      <c r="L12"/>
      <c r="M12"/>
      <c r="N12"/>
      <c r="O12"/>
      <c r="P12"/>
    </row>
    <row r="13" spans="1:16" x14ac:dyDescent="0.25">
      <c r="A13" s="85"/>
      <c r="B13" s="40">
        <f>SUMIFS('Data Entry - Teaching'!J:J,'Data Entry - Teaching'!$A:$A,'Report - Staff Member'!$A13,'Data Entry - Teaching'!$C:$C,$A$3)</f>
        <v>0</v>
      </c>
      <c r="C13" s="40">
        <f>SUMIFS('Data Entry - Teaching'!L:L,'Data Entry - Teaching'!$A:$A,'Report - Staff Member'!$A13,'Data Entry - Teaching'!$C:$C,$A$3)</f>
        <v>0</v>
      </c>
      <c r="D13" s="40">
        <f>SUMIFS('Data Entry - Teaching'!N:N,'Data Entry - Teaching'!$A:$A,'Report - Staff Member'!$A13,'Data Entry - Teaching'!$C:$C,$A$3)</f>
        <v>0</v>
      </c>
      <c r="E13" s="40">
        <f>SUMIFS('Data Entry - Teaching'!P:P,'Data Entry - Teaching'!$A:$A,'Report - Staff Member'!$A13,'Data Entry - Teaching'!$C:$C,$A$3)</f>
        <v>0</v>
      </c>
      <c r="F13" s="40">
        <f>SUMIFS('Data Entry - Teaching'!R:R,'Data Entry - Teaching'!$A:$A,'Report - Staff Member'!$A13,'Data Entry - Teaching'!$C:$C,$A$3)</f>
        <v>0</v>
      </c>
      <c r="G13"/>
      <c r="H13"/>
      <c r="I13"/>
      <c r="J13"/>
      <c r="K13"/>
      <c r="L13"/>
      <c r="M13"/>
      <c r="N13"/>
      <c r="O13"/>
      <c r="P13"/>
    </row>
    <row r="14" spans="1:16" x14ac:dyDescent="0.25">
      <c r="A14" s="85"/>
      <c r="B14" s="40">
        <f>SUMIFS('Data Entry - Teaching'!J:J,'Data Entry - Teaching'!$A:$A,'Report - Staff Member'!$A14,'Data Entry - Teaching'!$C:$C,$A$3)</f>
        <v>0</v>
      </c>
      <c r="C14" s="40">
        <f>SUMIFS('Data Entry - Teaching'!L:L,'Data Entry - Teaching'!$A:$A,'Report - Staff Member'!$A14,'Data Entry - Teaching'!$C:$C,$A$3)</f>
        <v>0</v>
      </c>
      <c r="D14" s="40">
        <f>SUMIFS('Data Entry - Teaching'!N:N,'Data Entry - Teaching'!$A:$A,'Report - Staff Member'!$A14,'Data Entry - Teaching'!$C:$C,$A$3)</f>
        <v>0</v>
      </c>
      <c r="E14" s="40">
        <f>SUMIFS('Data Entry - Teaching'!P:P,'Data Entry - Teaching'!$A:$A,'Report - Staff Member'!$A14,'Data Entry - Teaching'!$C:$C,$A$3)</f>
        <v>0</v>
      </c>
      <c r="F14" s="40">
        <f>SUMIFS('Data Entry - Teaching'!R:R,'Data Entry - Teaching'!$A:$A,'Report - Staff Member'!$A14,'Data Entry - Teaching'!$C:$C,$A$3)</f>
        <v>0</v>
      </c>
      <c r="G14"/>
      <c r="H14"/>
      <c r="I14"/>
      <c r="J14"/>
      <c r="K14"/>
      <c r="L14"/>
      <c r="M14"/>
      <c r="N14"/>
      <c r="O14"/>
      <c r="P14"/>
    </row>
    <row r="15" spans="1:16" x14ac:dyDescent="0.25">
      <c r="A15" s="85"/>
      <c r="B15" s="40">
        <f>SUMIFS('Data Entry - Teaching'!J:J,'Data Entry - Teaching'!$A:$A,'Report - Staff Member'!$A15,'Data Entry - Teaching'!$C:$C,$A$3)</f>
        <v>0</v>
      </c>
      <c r="C15" s="40">
        <f>SUMIFS('Data Entry - Teaching'!L:L,'Data Entry - Teaching'!$A:$A,'Report - Staff Member'!$A15,'Data Entry - Teaching'!$C:$C,$A$3)</f>
        <v>0</v>
      </c>
      <c r="D15" s="40">
        <f>SUMIFS('Data Entry - Teaching'!N:N,'Data Entry - Teaching'!$A:$A,'Report - Staff Member'!$A15,'Data Entry - Teaching'!$C:$C,$A$3)</f>
        <v>0</v>
      </c>
      <c r="E15" s="40">
        <f>SUMIFS('Data Entry - Teaching'!P:P,'Data Entry - Teaching'!$A:$A,'Report - Staff Member'!$A15,'Data Entry - Teaching'!$C:$C,$A$3)</f>
        <v>0</v>
      </c>
      <c r="F15" s="40">
        <f>SUMIFS('Data Entry - Teaching'!R:R,'Data Entry - Teaching'!$A:$A,'Report - Staff Member'!$A15,'Data Entry - Teaching'!$C:$C,$A$3)</f>
        <v>0</v>
      </c>
      <c r="G15"/>
      <c r="H15"/>
      <c r="I15"/>
      <c r="J15"/>
      <c r="K15"/>
      <c r="L15"/>
      <c r="M15"/>
      <c r="N15"/>
      <c r="O15"/>
      <c r="P15"/>
    </row>
    <row r="16" spans="1:16" x14ac:dyDescent="0.25">
      <c r="A16" s="85"/>
      <c r="B16" s="40">
        <f>SUMIFS('Data Entry - Teaching'!J:J,'Data Entry - Teaching'!$A:$A,'Report - Staff Member'!$A16,'Data Entry - Teaching'!$C:$C,$A$3)</f>
        <v>0</v>
      </c>
      <c r="C16" s="40">
        <f>SUMIFS('Data Entry - Teaching'!L:L,'Data Entry - Teaching'!$A:$A,'Report - Staff Member'!$A16,'Data Entry - Teaching'!$C:$C,$A$3)</f>
        <v>0</v>
      </c>
      <c r="D16" s="40">
        <f>SUMIFS('Data Entry - Teaching'!N:N,'Data Entry - Teaching'!$A:$A,'Report - Staff Member'!$A16,'Data Entry - Teaching'!$C:$C,$A$3)</f>
        <v>0</v>
      </c>
      <c r="E16" s="40">
        <f>SUMIFS('Data Entry - Teaching'!P:P,'Data Entry - Teaching'!$A:$A,'Report - Staff Member'!$A16,'Data Entry - Teaching'!$C:$C,$A$3)</f>
        <v>0</v>
      </c>
      <c r="F16" s="40">
        <f>SUMIFS('Data Entry - Teaching'!R:R,'Data Entry - Teaching'!$A:$A,'Report - Staff Member'!$A16,'Data Entry - Teaching'!$C:$C,$A$3)</f>
        <v>0</v>
      </c>
      <c r="G16"/>
      <c r="H16"/>
      <c r="I16"/>
      <c r="J16"/>
      <c r="K16"/>
      <c r="L16"/>
      <c r="M16"/>
      <c r="N16"/>
      <c r="O16"/>
      <c r="P16"/>
    </row>
    <row r="17" spans="1:16" x14ac:dyDescent="0.25">
      <c r="A17" s="85"/>
      <c r="B17" s="40">
        <f>SUMIFS('Data Entry - Teaching'!J:J,'Data Entry - Teaching'!$A:$A,'Report - Staff Member'!$A17,'Data Entry - Teaching'!$C:$C,$A$3)</f>
        <v>0</v>
      </c>
      <c r="C17" s="40">
        <f>SUMIFS('Data Entry - Teaching'!L:L,'Data Entry - Teaching'!$A:$A,'Report - Staff Member'!$A17,'Data Entry - Teaching'!$C:$C,$A$3)</f>
        <v>0</v>
      </c>
      <c r="D17" s="40">
        <f>SUMIFS('Data Entry - Teaching'!N:N,'Data Entry - Teaching'!$A:$A,'Report - Staff Member'!$A17,'Data Entry - Teaching'!$C:$C,$A$3)</f>
        <v>0</v>
      </c>
      <c r="E17" s="40">
        <f>SUMIFS('Data Entry - Teaching'!P:P,'Data Entry - Teaching'!$A:$A,'Report - Staff Member'!$A17,'Data Entry - Teaching'!$C:$C,$A$3)</f>
        <v>0</v>
      </c>
      <c r="F17" s="40">
        <f>SUMIFS('Data Entry - Teaching'!R:R,'Data Entry - Teaching'!$A:$A,'Report - Staff Member'!$A17,'Data Entry - Teaching'!$C:$C,$A$3)</f>
        <v>0</v>
      </c>
      <c r="G17"/>
      <c r="H17"/>
      <c r="I17"/>
      <c r="J17"/>
      <c r="K17"/>
      <c r="L17"/>
      <c r="M17"/>
      <c r="N17"/>
      <c r="O17"/>
      <c r="P17"/>
    </row>
    <row r="18" spans="1:16" x14ac:dyDescent="0.25">
      <c r="A18" s="85"/>
      <c r="B18" s="40">
        <f>SUMIFS('Data Entry - Teaching'!J:J,'Data Entry - Teaching'!$A:$A,'Report - Staff Member'!$A18,'Data Entry - Teaching'!$C:$C,$A$3)</f>
        <v>0</v>
      </c>
      <c r="C18" s="40">
        <f>SUMIFS('Data Entry - Teaching'!L:L,'Data Entry - Teaching'!$A:$A,'Report - Staff Member'!$A18,'Data Entry - Teaching'!$C:$C,$A$3)</f>
        <v>0</v>
      </c>
      <c r="D18" s="40">
        <f>SUMIFS('Data Entry - Teaching'!N:N,'Data Entry - Teaching'!$A:$A,'Report - Staff Member'!$A18,'Data Entry - Teaching'!$C:$C,$A$3)</f>
        <v>0</v>
      </c>
      <c r="E18" s="40">
        <f>SUMIFS('Data Entry - Teaching'!P:P,'Data Entry - Teaching'!$A:$A,'Report - Staff Member'!$A18,'Data Entry - Teaching'!$C:$C,$A$3)</f>
        <v>0</v>
      </c>
      <c r="F18" s="40">
        <f>SUMIFS('Data Entry - Teaching'!R:R,'Data Entry - Teaching'!$A:$A,'Report - Staff Member'!$A18,'Data Entry - Teaching'!$C:$C,$A$3)</f>
        <v>0</v>
      </c>
      <c r="G18"/>
      <c r="H18"/>
      <c r="I18"/>
      <c r="J18"/>
      <c r="K18"/>
      <c r="L18"/>
      <c r="M18"/>
      <c r="N18"/>
      <c r="O18"/>
      <c r="P18"/>
    </row>
    <row r="19" spans="1:16" x14ac:dyDescent="0.25">
      <c r="A19"/>
      <c r="B19" s="21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x14ac:dyDescent="0.25">
      <c r="A20" s="1" t="s">
        <v>187</v>
      </c>
      <c r="B20" s="21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x14ac:dyDescent="0.25">
      <c r="A22" s="97" t="s">
        <v>188</v>
      </c>
      <c r="B22" s="90">
        <f>E35</f>
        <v>10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x14ac:dyDescent="0.25">
      <c r="A23" s="97" t="s">
        <v>189</v>
      </c>
      <c r="B23" s="90">
        <f>D35</f>
        <v>50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x14ac:dyDescent="0.25">
      <c r="A24" s="21"/>
      <c r="B24" s="21"/>
      <c r="C24" s="21"/>
      <c r="D24" s="21"/>
      <c r="E24" s="21"/>
      <c r="F24" s="21"/>
      <c r="G24" s="21"/>
      <c r="H24"/>
      <c r="I24"/>
      <c r="J24"/>
      <c r="K24"/>
      <c r="L24"/>
      <c r="M24"/>
      <c r="N24"/>
      <c r="O24"/>
      <c r="P24"/>
    </row>
    <row r="25" spans="1:16" customFormat="1" x14ac:dyDescent="0.25">
      <c r="A25" s="167" t="s">
        <v>190</v>
      </c>
      <c r="B25" s="168"/>
      <c r="C25" s="168"/>
      <c r="D25" s="168"/>
      <c r="E25" s="168"/>
      <c r="F25" s="168"/>
      <c r="G25" s="168"/>
    </row>
    <row r="26" spans="1:16" x14ac:dyDescent="0.25">
      <c r="A26" s="86" t="s">
        <v>191</v>
      </c>
      <c r="B26" s="164" t="str">
        <f>_xlfn.XLOOKUP($A$3,'Data Entry - Assigned Role'!$A:$A,'Data Entry - Assigned Role'!E:E,"")</f>
        <v>Outreach activities chair M&amp;S</v>
      </c>
      <c r="C26" s="165"/>
      <c r="D26" s="165"/>
      <c r="E26" s="165"/>
      <c r="F26" s="166"/>
      <c r="G26" s="87">
        <f>_xlfn.XLOOKUP($A$3,'Data Entry - Assigned Role'!$A:$A,'Data Entry - Assigned Role'!F:F,"")</f>
        <v>2.89</v>
      </c>
      <c r="H26"/>
      <c r="I26"/>
      <c r="J26"/>
      <c r="K26"/>
      <c r="L26"/>
      <c r="M26"/>
      <c r="N26"/>
      <c r="O26"/>
      <c r="P26"/>
    </row>
    <row r="27" spans="1:16" x14ac:dyDescent="0.25">
      <c r="A27" s="88" t="s">
        <v>192</v>
      </c>
      <c r="B27" s="164">
        <f>_xlfn.XLOOKUP($A$3,'Data Entry - Assigned Role'!$A:$A,'Data Entry - Assigned Role'!G:G,"")</f>
        <v>0</v>
      </c>
      <c r="C27" s="165"/>
      <c r="D27" s="165"/>
      <c r="E27" s="165"/>
      <c r="F27" s="166"/>
      <c r="G27" s="87">
        <f>_xlfn.XLOOKUP($A$3,'Data Entry - Assigned Role'!$A:$A,'Data Entry - Assigned Role'!H:H,"")</f>
        <v>0</v>
      </c>
      <c r="H27"/>
      <c r="I27"/>
      <c r="J27"/>
      <c r="K27"/>
      <c r="L27"/>
      <c r="M27"/>
      <c r="N27"/>
      <c r="O27"/>
      <c r="P27"/>
    </row>
    <row r="28" spans="1:16" x14ac:dyDescent="0.25">
      <c r="A28" s="88" t="s">
        <v>193</v>
      </c>
      <c r="B28" s="164">
        <f>_xlfn.XLOOKUP($A$3,'Data Entry - Assigned Role'!$A:$A,'Data Entry - Assigned Role'!I:I,"")</f>
        <v>0</v>
      </c>
      <c r="C28" s="165"/>
      <c r="D28" s="165"/>
      <c r="E28" s="165"/>
      <c r="F28" s="166"/>
      <c r="G28" s="87">
        <f>_xlfn.XLOOKUP($A$3,'Data Entry - Assigned Role'!$A:$A,'Data Entry - Assigned Role'!J:J,"")</f>
        <v>0</v>
      </c>
      <c r="H28"/>
      <c r="I28"/>
      <c r="J28"/>
      <c r="K28"/>
      <c r="L28"/>
      <c r="M28"/>
      <c r="N28"/>
      <c r="O28"/>
      <c r="P28"/>
    </row>
    <row r="29" spans="1:16" x14ac:dyDescent="0.25">
      <c r="A29" s="88" t="s">
        <v>194</v>
      </c>
      <c r="B29" s="164">
        <f>_xlfn.XLOOKUP($A$3,'Data Entry - Assigned Role'!$A:$A,'Data Entry - Assigned Role'!K:K,"")</f>
        <v>0</v>
      </c>
      <c r="C29" s="165"/>
      <c r="D29" s="165"/>
      <c r="E29" s="165"/>
      <c r="F29" s="166"/>
      <c r="G29" s="87">
        <f>_xlfn.XLOOKUP($A$3,'Data Entry - Assigned Role'!$A:$A,'Data Entry - Assigned Role'!L:L,"")</f>
        <v>0</v>
      </c>
      <c r="H29"/>
      <c r="I29"/>
      <c r="J29"/>
      <c r="K29"/>
      <c r="L29"/>
      <c r="M29"/>
      <c r="N29"/>
      <c r="O29"/>
      <c r="P29"/>
    </row>
    <row r="30" spans="1:16" x14ac:dyDescent="0.25">
      <c r="A30" s="88" t="s">
        <v>195</v>
      </c>
      <c r="B30" s="164">
        <f>_xlfn.XLOOKUP($A$3,'Data Entry - Assigned Role'!$A:$A,'Data Entry - Assigned Role'!M:M,"")</f>
        <v>0</v>
      </c>
      <c r="C30" s="165"/>
      <c r="D30" s="165"/>
      <c r="E30" s="165"/>
      <c r="F30" s="166"/>
      <c r="G30" s="87">
        <f>_xlfn.XLOOKUP($A$3,'Data Entry - Assigned Role'!$A:$A,'Data Entry - Assigned Role'!N:N,"")</f>
        <v>0</v>
      </c>
      <c r="H30"/>
      <c r="I30"/>
      <c r="J30"/>
      <c r="K30"/>
      <c r="L30"/>
      <c r="M30"/>
      <c r="N30"/>
      <c r="O30"/>
      <c r="P30"/>
    </row>
    <row r="31" spans="1:16" x14ac:dyDescent="0.25">
      <c r="A31" s="88" t="s">
        <v>196</v>
      </c>
      <c r="B31" s="164">
        <f>_xlfn.XLOOKUP($A$3,'Data Entry - Assigned Role'!$A:$A,'Data Entry - Assigned Role'!O:O,"")</f>
        <v>0</v>
      </c>
      <c r="C31" s="165"/>
      <c r="D31" s="165"/>
      <c r="E31" s="165"/>
      <c r="F31" s="166"/>
      <c r="G31" s="87">
        <f>_xlfn.XLOOKUP($A$3,'Data Entry - Assigned Role'!$A:$A,'Data Entry - Assigned Role'!P:P,"")</f>
        <v>0</v>
      </c>
      <c r="H31"/>
      <c r="I31"/>
      <c r="J31"/>
      <c r="K31"/>
      <c r="L31"/>
      <c r="M31"/>
      <c r="N31"/>
      <c r="O31"/>
    </row>
    <row r="32" spans="1:16" x14ac:dyDescent="0.25">
      <c r="A32"/>
      <c r="B32" s="21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x14ac:dyDescent="0.25">
      <c r="A33" s="1" t="s">
        <v>197</v>
      </c>
      <c r="B33" s="21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 ht="30" x14ac:dyDescent="0.25">
      <c r="A34" s="95" t="s">
        <v>5</v>
      </c>
      <c r="B34" s="96" t="s">
        <v>6</v>
      </c>
      <c r="C34" s="96" t="s">
        <v>7</v>
      </c>
      <c r="D34" s="96" t="s">
        <v>8</v>
      </c>
      <c r="E34" s="96" t="s">
        <v>9</v>
      </c>
      <c r="F34" s="96" t="s">
        <v>10</v>
      </c>
      <c r="G34" s="96" t="s">
        <v>11</v>
      </c>
      <c r="H34" s="96" t="s">
        <v>12</v>
      </c>
      <c r="I34"/>
      <c r="J34"/>
      <c r="K34"/>
      <c r="L34"/>
      <c r="M34"/>
      <c r="N34"/>
      <c r="O34"/>
    </row>
    <row r="35" spans="1:15" x14ac:dyDescent="0.25">
      <c r="A35" s="66" t="str">
        <f>A3</f>
        <v>Dummy, 01, 00000001</v>
      </c>
      <c r="B35" s="89">
        <f>_xlfn.XLOOKUP($A$3,'Report - Staff'!$A:$A,'Report - Staff'!B:B,"")</f>
        <v>1</v>
      </c>
      <c r="C35" s="89">
        <f>_xlfn.XLOOKUP($A$3,'Report - Staff'!$A:$A,'Report - Staff'!C:C,"")</f>
        <v>24.985507246376812</v>
      </c>
      <c r="D35" s="89">
        <f>_xlfn.XLOOKUP($A$3,'Report - Staff'!$A:$A,'Report - Staff'!D:D,"")</f>
        <v>50</v>
      </c>
      <c r="E35" s="89">
        <f>_xlfn.XLOOKUP($A$3,'Report - Staff'!$A:$A,'Report - Staff'!E:E,"")</f>
        <v>10</v>
      </c>
      <c r="F35" s="89">
        <f>_xlfn.XLOOKUP($A$3,'Report - Staff'!$A:$A,'Report - Staff'!F:F,"")</f>
        <v>4</v>
      </c>
      <c r="G35" s="89">
        <f>_xlfn.XLOOKUP($A$3,'Report - Staff'!$A:$A,'Report - Staff'!G:G,"")</f>
        <v>11.014492753623188</v>
      </c>
      <c r="H35" s="89">
        <f>_xlfn.XLOOKUP($A$3,'Report - Staff'!$A:$A,'Report - Staff'!H:H,"")</f>
        <v>100</v>
      </c>
      <c r="I35"/>
      <c r="J35"/>
      <c r="K35"/>
      <c r="L35"/>
      <c r="M35"/>
      <c r="N35"/>
      <c r="O35"/>
    </row>
    <row r="36" spans="1:15" x14ac:dyDescent="0.25">
      <c r="A36"/>
      <c r="B36"/>
      <c r="C36"/>
      <c r="E36"/>
      <c r="F36"/>
      <c r="G36"/>
      <c r="H36"/>
      <c r="I36"/>
      <c r="J36"/>
      <c r="K36"/>
      <c r="L36"/>
      <c r="M36"/>
      <c r="N36"/>
      <c r="O36"/>
    </row>
    <row r="37" spans="1:15" x14ac:dyDescent="0.25">
      <c r="A37" s="98" t="s">
        <v>198</v>
      </c>
      <c r="B37" s="94">
        <f>_xlfn.XLOOKUP($A$3,'Report - Staff'!A:A,'Report - Staff'!K:K,"")</f>
        <v>0.69</v>
      </c>
      <c r="C37"/>
      <c r="E37"/>
      <c r="F37"/>
      <c r="G37"/>
      <c r="H37"/>
      <c r="I37"/>
      <c r="J37"/>
      <c r="K37"/>
      <c r="L37"/>
      <c r="M37"/>
      <c r="N37"/>
      <c r="O37"/>
    </row>
    <row r="38" spans="1:15" x14ac:dyDescent="0.25">
      <c r="A38" s="98" t="s">
        <v>199</v>
      </c>
      <c r="B38" s="94" t="str">
        <f>_xlfn.XLOOKUP($A$3,'Report - Staff'!A:A,'Report - Staff'!L:L,"")</f>
        <v>Balanced Teaching &amp; Research</v>
      </c>
      <c r="C38"/>
      <c r="E38"/>
      <c r="F38"/>
      <c r="G38"/>
      <c r="H38"/>
      <c r="I38"/>
      <c r="J38"/>
      <c r="K38"/>
      <c r="L38"/>
      <c r="M38"/>
      <c r="N38"/>
      <c r="O38"/>
    </row>
    <row r="39" spans="1:15" x14ac:dyDescent="0.25">
      <c r="A39"/>
      <c r="B39"/>
      <c r="C39"/>
      <c r="E39"/>
      <c r="F39"/>
      <c r="G39"/>
      <c r="H39"/>
      <c r="I39"/>
      <c r="J39"/>
      <c r="K39"/>
      <c r="L39"/>
      <c r="M39"/>
      <c r="N39"/>
      <c r="O39"/>
    </row>
    <row r="40" spans="1:15" x14ac:dyDescent="0.25">
      <c r="A40"/>
      <c r="B40"/>
      <c r="C40"/>
      <c r="E40"/>
      <c r="F40"/>
      <c r="G40"/>
      <c r="H40"/>
      <c r="I40"/>
      <c r="J40"/>
      <c r="K40"/>
      <c r="L40"/>
      <c r="M40"/>
      <c r="N40"/>
      <c r="O40"/>
    </row>
    <row r="41" spans="1:15" x14ac:dyDescent="0.25">
      <c r="A41"/>
      <c r="B41"/>
      <c r="C41"/>
      <c r="E41"/>
      <c r="F41"/>
      <c r="G41"/>
      <c r="H41"/>
      <c r="I41"/>
      <c r="J41"/>
      <c r="K41"/>
      <c r="L41"/>
      <c r="M41"/>
      <c r="N41"/>
      <c r="O41"/>
    </row>
    <row r="42" spans="1:15" x14ac:dyDescent="0.25">
      <c r="A42"/>
      <c r="B42"/>
      <c r="C42"/>
      <c r="E42"/>
      <c r="F42"/>
      <c r="G42"/>
      <c r="H42"/>
      <c r="I42"/>
      <c r="J42"/>
      <c r="K42"/>
    </row>
    <row r="43" spans="1:15" x14ac:dyDescent="0.25">
      <c r="A43"/>
      <c r="B43"/>
      <c r="C43"/>
      <c r="E43"/>
      <c r="F43"/>
      <c r="G43"/>
      <c r="H43"/>
      <c r="I43"/>
      <c r="J43"/>
    </row>
    <row r="44" spans="1:15" x14ac:dyDescent="0.25">
      <c r="A44"/>
      <c r="B44"/>
      <c r="C44"/>
      <c r="E44"/>
      <c r="F44"/>
      <c r="G44"/>
      <c r="H44"/>
      <c r="I44"/>
      <c r="J44"/>
    </row>
    <row r="45" spans="1:15" x14ac:dyDescent="0.25">
      <c r="A45"/>
      <c r="B45"/>
      <c r="C45"/>
      <c r="E45"/>
      <c r="F45"/>
      <c r="G45"/>
      <c r="H45"/>
      <c r="I45"/>
      <c r="J45"/>
    </row>
    <row r="46" spans="1:15" x14ac:dyDescent="0.25">
      <c r="A46"/>
      <c r="B46"/>
      <c r="C46"/>
      <c r="E46"/>
      <c r="F46"/>
      <c r="G46"/>
      <c r="H46"/>
      <c r="I46"/>
      <c r="J46"/>
    </row>
    <row r="47" spans="1:15" x14ac:dyDescent="0.25">
      <c r="A47"/>
      <c r="B47"/>
      <c r="C47"/>
      <c r="E47"/>
      <c r="F47"/>
      <c r="G47"/>
      <c r="H47"/>
      <c r="I47"/>
      <c r="J47"/>
    </row>
    <row r="48" spans="1:15" x14ac:dyDescent="0.25">
      <c r="A48"/>
      <c r="B48"/>
      <c r="C48"/>
      <c r="E48"/>
      <c r="F48"/>
      <c r="G48"/>
      <c r="H48"/>
      <c r="I48"/>
      <c r="J48"/>
    </row>
    <row r="49" spans="1:10" x14ac:dyDescent="0.25">
      <c r="A49"/>
      <c r="B49"/>
      <c r="C49"/>
      <c r="E49"/>
      <c r="F49"/>
      <c r="G49"/>
      <c r="H49"/>
      <c r="I49"/>
      <c r="J49"/>
    </row>
    <row r="50" spans="1:10" x14ac:dyDescent="0.25">
      <c r="A50"/>
      <c r="B50"/>
      <c r="C50"/>
      <c r="E50"/>
      <c r="F50"/>
      <c r="G50"/>
      <c r="H50"/>
      <c r="I50"/>
      <c r="J50"/>
    </row>
    <row r="51" spans="1:10" x14ac:dyDescent="0.25">
      <c r="A51"/>
      <c r="B51"/>
      <c r="C51"/>
      <c r="E51"/>
      <c r="F51"/>
      <c r="G51"/>
      <c r="H51"/>
      <c r="I51"/>
      <c r="J51"/>
    </row>
    <row r="52" spans="1:10" x14ac:dyDescent="0.25">
      <c r="A52"/>
      <c r="B52"/>
      <c r="C52"/>
      <c r="E52"/>
      <c r="F52"/>
      <c r="G52"/>
      <c r="H52"/>
      <c r="I52"/>
      <c r="J52"/>
    </row>
    <row r="53" spans="1:10" x14ac:dyDescent="0.25">
      <c r="A53"/>
      <c r="B53"/>
      <c r="C53"/>
      <c r="E53"/>
      <c r="F53"/>
      <c r="G53"/>
      <c r="H53"/>
      <c r="I53"/>
      <c r="J53"/>
    </row>
    <row r="54" spans="1:10" x14ac:dyDescent="0.25">
      <c r="A54"/>
      <c r="B54"/>
      <c r="C54"/>
      <c r="E54"/>
      <c r="F54"/>
      <c r="G54"/>
      <c r="H54"/>
      <c r="I54"/>
      <c r="J54"/>
    </row>
    <row r="55" spans="1:10" x14ac:dyDescent="0.25">
      <c r="A55"/>
      <c r="B55"/>
      <c r="C55"/>
      <c r="E55"/>
      <c r="F55"/>
      <c r="G55"/>
      <c r="H55"/>
      <c r="I55"/>
      <c r="J55"/>
    </row>
    <row r="56" spans="1:10" x14ac:dyDescent="0.25">
      <c r="A56"/>
      <c r="B56"/>
      <c r="C56"/>
      <c r="E56"/>
      <c r="F56"/>
      <c r="G56"/>
      <c r="H56"/>
      <c r="I56"/>
      <c r="J56"/>
    </row>
    <row r="57" spans="1:10" x14ac:dyDescent="0.25">
      <c r="A57"/>
      <c r="B57"/>
      <c r="C57"/>
      <c r="E57"/>
      <c r="F57"/>
      <c r="G57"/>
      <c r="H57"/>
      <c r="I57"/>
      <c r="J57"/>
    </row>
    <row r="58" spans="1:10" x14ac:dyDescent="0.25">
      <c r="A58"/>
      <c r="B58"/>
      <c r="C58"/>
      <c r="E58"/>
      <c r="F58"/>
      <c r="G58"/>
      <c r="H58"/>
      <c r="I58"/>
      <c r="J58"/>
    </row>
    <row r="59" spans="1:10" x14ac:dyDescent="0.25">
      <c r="A59"/>
      <c r="B59"/>
      <c r="C59"/>
      <c r="E59"/>
      <c r="F59"/>
      <c r="G59"/>
      <c r="H59"/>
      <c r="I59"/>
      <c r="J59"/>
    </row>
    <row r="60" spans="1:10" x14ac:dyDescent="0.25">
      <c r="A60"/>
      <c r="B60"/>
      <c r="C60"/>
      <c r="E60"/>
      <c r="F60"/>
      <c r="G60"/>
      <c r="H60"/>
      <c r="I60"/>
      <c r="J60"/>
    </row>
    <row r="61" spans="1:10" x14ac:dyDescent="0.25">
      <c r="A61"/>
      <c r="B61"/>
      <c r="C61"/>
      <c r="E61"/>
      <c r="F61"/>
      <c r="G61"/>
      <c r="H61"/>
      <c r="I61"/>
      <c r="J61"/>
    </row>
    <row r="62" spans="1:10" x14ac:dyDescent="0.25">
      <c r="A62"/>
      <c r="B62"/>
      <c r="C62"/>
      <c r="E62"/>
      <c r="F62"/>
      <c r="G62"/>
      <c r="H62"/>
      <c r="I62"/>
      <c r="J62"/>
    </row>
    <row r="63" spans="1:10" x14ac:dyDescent="0.25">
      <c r="A63"/>
      <c r="B63"/>
      <c r="C63"/>
      <c r="E63"/>
      <c r="F63"/>
      <c r="G63"/>
      <c r="H63"/>
      <c r="I63"/>
      <c r="J63"/>
    </row>
    <row r="64" spans="1:10" x14ac:dyDescent="0.25">
      <c r="A64"/>
      <c r="B64"/>
      <c r="C64"/>
      <c r="E64"/>
      <c r="F64"/>
      <c r="G64"/>
      <c r="H64"/>
      <c r="I64"/>
      <c r="J64"/>
    </row>
    <row r="65" spans="1:10" x14ac:dyDescent="0.25">
      <c r="A65"/>
      <c r="B65"/>
      <c r="C65"/>
      <c r="E65"/>
      <c r="F65"/>
      <c r="G65"/>
      <c r="H65"/>
      <c r="I65"/>
      <c r="J65"/>
    </row>
    <row r="66" spans="1:10" x14ac:dyDescent="0.25">
      <c r="A66"/>
      <c r="B66"/>
      <c r="C66"/>
      <c r="E66"/>
      <c r="F66"/>
      <c r="G66"/>
      <c r="H66"/>
      <c r="I66"/>
      <c r="J66"/>
    </row>
    <row r="67" spans="1:10" x14ac:dyDescent="0.25">
      <c r="A67"/>
      <c r="B67"/>
      <c r="C67"/>
      <c r="E67"/>
      <c r="F67"/>
      <c r="G67"/>
      <c r="H67"/>
      <c r="I67"/>
      <c r="J67"/>
    </row>
    <row r="68" spans="1:10" x14ac:dyDescent="0.25">
      <c r="A68"/>
      <c r="B68"/>
      <c r="C68"/>
      <c r="E68"/>
      <c r="F68"/>
      <c r="G68"/>
      <c r="H68"/>
      <c r="I68"/>
      <c r="J68"/>
    </row>
    <row r="69" spans="1:10" x14ac:dyDescent="0.25">
      <c r="A69"/>
      <c r="B69"/>
      <c r="C69"/>
      <c r="E69"/>
      <c r="F69"/>
      <c r="G69"/>
      <c r="H69"/>
      <c r="I69"/>
      <c r="J69"/>
    </row>
    <row r="70" spans="1:10" x14ac:dyDescent="0.25">
      <c r="A70"/>
      <c r="B70"/>
      <c r="C70"/>
      <c r="E70"/>
      <c r="F70"/>
      <c r="G70"/>
      <c r="H70"/>
      <c r="I70"/>
      <c r="J70"/>
    </row>
    <row r="71" spans="1:10" x14ac:dyDescent="0.25">
      <c r="A71"/>
      <c r="B71"/>
      <c r="C71"/>
      <c r="E71"/>
      <c r="F71"/>
      <c r="G71"/>
      <c r="H71"/>
      <c r="I71"/>
      <c r="J71"/>
    </row>
    <row r="72" spans="1:10" x14ac:dyDescent="0.25">
      <c r="A72"/>
      <c r="B72"/>
      <c r="C72"/>
      <c r="E72"/>
      <c r="F72"/>
      <c r="G72"/>
      <c r="H72"/>
      <c r="I72"/>
      <c r="J72"/>
    </row>
    <row r="73" spans="1:10" x14ac:dyDescent="0.25">
      <c r="A73"/>
      <c r="B73"/>
      <c r="C73"/>
      <c r="E73"/>
      <c r="F73"/>
      <c r="G73"/>
      <c r="H73"/>
      <c r="I73"/>
      <c r="J73"/>
    </row>
    <row r="74" spans="1:10" x14ac:dyDescent="0.25">
      <c r="A74"/>
      <c r="B74"/>
      <c r="C74"/>
      <c r="E74"/>
      <c r="F74"/>
      <c r="G74"/>
      <c r="H74"/>
      <c r="I74"/>
      <c r="J74"/>
    </row>
    <row r="75" spans="1:10" x14ac:dyDescent="0.25">
      <c r="A75"/>
      <c r="B75"/>
      <c r="C75"/>
      <c r="E75"/>
      <c r="F75"/>
      <c r="G75"/>
      <c r="H75"/>
      <c r="I75"/>
      <c r="J75"/>
    </row>
    <row r="76" spans="1:10" x14ac:dyDescent="0.25">
      <c r="A76"/>
      <c r="B76"/>
      <c r="C76"/>
      <c r="E76"/>
      <c r="F76"/>
      <c r="G76"/>
      <c r="H76"/>
      <c r="I76"/>
      <c r="J76"/>
    </row>
    <row r="77" spans="1:10" x14ac:dyDescent="0.25">
      <c r="A77"/>
      <c r="B77"/>
      <c r="C77"/>
      <c r="E77"/>
      <c r="F77"/>
      <c r="G77"/>
      <c r="H77"/>
      <c r="I77"/>
      <c r="J77"/>
    </row>
    <row r="78" spans="1:10" x14ac:dyDescent="0.25">
      <c r="A78"/>
      <c r="B78"/>
      <c r="C78"/>
      <c r="E78"/>
      <c r="F78"/>
      <c r="G78"/>
      <c r="H78"/>
      <c r="I78"/>
      <c r="J78"/>
    </row>
    <row r="79" spans="1:10" x14ac:dyDescent="0.25">
      <c r="A79"/>
      <c r="B79"/>
      <c r="C79"/>
      <c r="E79"/>
      <c r="F79"/>
      <c r="G79"/>
      <c r="H79"/>
      <c r="I79"/>
      <c r="J79"/>
    </row>
    <row r="80" spans="1:10" x14ac:dyDescent="0.25">
      <c r="A80"/>
      <c r="B80"/>
      <c r="C80"/>
      <c r="E80"/>
      <c r="F80"/>
      <c r="G80"/>
      <c r="H80"/>
      <c r="I80"/>
      <c r="J80"/>
    </row>
    <row r="81" spans="1:10" x14ac:dyDescent="0.25">
      <c r="A81"/>
      <c r="B81"/>
      <c r="C81"/>
      <c r="E81"/>
      <c r="F81"/>
      <c r="G81"/>
      <c r="H81"/>
      <c r="I81"/>
      <c r="J81"/>
    </row>
    <row r="82" spans="1:10" x14ac:dyDescent="0.25">
      <c r="A82"/>
      <c r="B82"/>
      <c r="C82"/>
      <c r="E82"/>
      <c r="F82"/>
      <c r="G82"/>
      <c r="H82"/>
      <c r="I82"/>
      <c r="J82"/>
    </row>
    <row r="83" spans="1:10" x14ac:dyDescent="0.25">
      <c r="A83"/>
      <c r="B83"/>
      <c r="C83"/>
      <c r="E83"/>
      <c r="F83"/>
      <c r="G83"/>
      <c r="H83"/>
      <c r="I83"/>
      <c r="J83"/>
    </row>
    <row r="84" spans="1:10" x14ac:dyDescent="0.25">
      <c r="A84"/>
      <c r="B84"/>
      <c r="C84"/>
      <c r="E84"/>
      <c r="F84"/>
      <c r="G84"/>
      <c r="H84"/>
      <c r="I84"/>
      <c r="J84"/>
    </row>
    <row r="85" spans="1:10" x14ac:dyDescent="0.25">
      <c r="A85"/>
      <c r="B85"/>
      <c r="C85"/>
      <c r="E85"/>
      <c r="F85"/>
      <c r="G85"/>
      <c r="H85"/>
      <c r="I85"/>
      <c r="J85"/>
    </row>
    <row r="86" spans="1:10" x14ac:dyDescent="0.25">
      <c r="A86"/>
      <c r="B86"/>
      <c r="C86"/>
      <c r="E86"/>
      <c r="F86"/>
      <c r="G86"/>
      <c r="H86"/>
      <c r="I86"/>
      <c r="J86"/>
    </row>
    <row r="87" spans="1:10" x14ac:dyDescent="0.25">
      <c r="A87"/>
      <c r="B87"/>
      <c r="C87"/>
      <c r="E87"/>
      <c r="F87"/>
      <c r="G87"/>
      <c r="H87"/>
      <c r="I87"/>
      <c r="J87"/>
    </row>
    <row r="88" spans="1:10" x14ac:dyDescent="0.25">
      <c r="A88"/>
      <c r="B88"/>
      <c r="C88"/>
      <c r="E88"/>
      <c r="F88"/>
      <c r="G88"/>
      <c r="H88"/>
      <c r="I88"/>
      <c r="J88"/>
    </row>
    <row r="89" spans="1:10" x14ac:dyDescent="0.25">
      <c r="A89"/>
      <c r="B89"/>
      <c r="C89"/>
      <c r="E89"/>
      <c r="F89"/>
      <c r="G89"/>
      <c r="H89"/>
      <c r="I89"/>
      <c r="J89"/>
    </row>
    <row r="90" spans="1:10" x14ac:dyDescent="0.25">
      <c r="A90"/>
      <c r="B90"/>
      <c r="C90"/>
      <c r="E90"/>
      <c r="F90"/>
      <c r="G90"/>
      <c r="H90"/>
      <c r="I90"/>
      <c r="J90"/>
    </row>
    <row r="91" spans="1:10" x14ac:dyDescent="0.25">
      <c r="A91"/>
      <c r="B91"/>
      <c r="C91"/>
      <c r="E91"/>
      <c r="F91"/>
      <c r="G91"/>
      <c r="H91"/>
      <c r="I91"/>
      <c r="J91"/>
    </row>
    <row r="92" spans="1:10" x14ac:dyDescent="0.25">
      <c r="A92"/>
      <c r="B92"/>
      <c r="C92"/>
      <c r="E92"/>
      <c r="F92"/>
      <c r="G92"/>
      <c r="H92"/>
      <c r="I92"/>
      <c r="J92"/>
    </row>
    <row r="93" spans="1:10" x14ac:dyDescent="0.25">
      <c r="A93"/>
      <c r="B93"/>
      <c r="C93"/>
      <c r="E93"/>
      <c r="F93"/>
      <c r="G93"/>
      <c r="H93"/>
      <c r="I93"/>
      <c r="J93"/>
    </row>
    <row r="94" spans="1:10" x14ac:dyDescent="0.25">
      <c r="A94"/>
      <c r="B94"/>
      <c r="C94"/>
      <c r="E94"/>
      <c r="F94"/>
      <c r="G94"/>
      <c r="H94"/>
      <c r="I94"/>
      <c r="J94"/>
    </row>
    <row r="95" spans="1:10" x14ac:dyDescent="0.25">
      <c r="A95"/>
      <c r="B95"/>
      <c r="C95"/>
      <c r="E95"/>
      <c r="F95"/>
      <c r="G95"/>
      <c r="H95"/>
      <c r="I95"/>
      <c r="J95"/>
    </row>
    <row r="96" spans="1:10" x14ac:dyDescent="0.25">
      <c r="A96"/>
      <c r="B96"/>
      <c r="C96"/>
      <c r="E96"/>
      <c r="F96"/>
      <c r="G96"/>
      <c r="H96"/>
      <c r="I96"/>
      <c r="J96"/>
    </row>
    <row r="97" spans="1:10" x14ac:dyDescent="0.25">
      <c r="A97"/>
      <c r="B97"/>
      <c r="C97"/>
      <c r="E97"/>
      <c r="F97"/>
      <c r="G97"/>
      <c r="H97"/>
      <c r="I97"/>
      <c r="J97"/>
    </row>
    <row r="98" spans="1:10" x14ac:dyDescent="0.25">
      <c r="A98"/>
      <c r="B98"/>
      <c r="C98"/>
      <c r="E98"/>
      <c r="F98"/>
      <c r="G98"/>
      <c r="H98"/>
      <c r="I98"/>
      <c r="J98"/>
    </row>
    <row r="99" spans="1:10" x14ac:dyDescent="0.25">
      <c r="A99"/>
      <c r="B99"/>
      <c r="C99"/>
      <c r="E99"/>
      <c r="F99"/>
      <c r="G99"/>
      <c r="H99"/>
      <c r="I99"/>
      <c r="J99"/>
    </row>
    <row r="100" spans="1:10" x14ac:dyDescent="0.25">
      <c r="A100"/>
      <c r="B100"/>
      <c r="C100"/>
      <c r="E100"/>
      <c r="F100"/>
      <c r="G100"/>
      <c r="H100"/>
      <c r="I100"/>
      <c r="J100"/>
    </row>
    <row r="101" spans="1:10" x14ac:dyDescent="0.25">
      <c r="A101"/>
      <c r="B101"/>
      <c r="C101"/>
      <c r="E101"/>
      <c r="F101"/>
      <c r="G101"/>
      <c r="H101"/>
      <c r="I101"/>
      <c r="J101"/>
    </row>
    <row r="102" spans="1:10" x14ac:dyDescent="0.25">
      <c r="A102"/>
      <c r="B102"/>
      <c r="C102"/>
      <c r="E102"/>
      <c r="F102"/>
      <c r="G102"/>
      <c r="H102"/>
      <c r="I102"/>
      <c r="J102"/>
    </row>
    <row r="103" spans="1:10" x14ac:dyDescent="0.25">
      <c r="A103"/>
      <c r="B103"/>
      <c r="C103"/>
      <c r="E103"/>
      <c r="F103"/>
      <c r="G103"/>
      <c r="H103"/>
      <c r="I103"/>
      <c r="J103"/>
    </row>
    <row r="104" spans="1:10" x14ac:dyDescent="0.25">
      <c r="A104"/>
      <c r="B104"/>
      <c r="C104"/>
      <c r="E104"/>
      <c r="F104"/>
      <c r="G104"/>
      <c r="H104"/>
      <c r="I104"/>
      <c r="J104"/>
    </row>
    <row r="105" spans="1:10" x14ac:dyDescent="0.25">
      <c r="A105"/>
      <c r="B105"/>
      <c r="C105"/>
      <c r="E105"/>
      <c r="F105"/>
      <c r="G105"/>
      <c r="H105"/>
      <c r="I105"/>
      <c r="J105"/>
    </row>
    <row r="106" spans="1:10" x14ac:dyDescent="0.25">
      <c r="A106"/>
      <c r="B106"/>
      <c r="C106"/>
      <c r="E106"/>
      <c r="F106"/>
      <c r="G106"/>
      <c r="H106"/>
      <c r="I106"/>
      <c r="J106"/>
    </row>
    <row r="107" spans="1:10" x14ac:dyDescent="0.25">
      <c r="A107"/>
      <c r="B107"/>
      <c r="C107"/>
      <c r="E107"/>
      <c r="F107"/>
      <c r="G107"/>
      <c r="H107"/>
      <c r="I107"/>
      <c r="J107"/>
    </row>
    <row r="108" spans="1:10" x14ac:dyDescent="0.25">
      <c r="A108"/>
      <c r="B108"/>
      <c r="C108"/>
      <c r="E108"/>
      <c r="F108"/>
      <c r="G108"/>
      <c r="H108"/>
      <c r="I108"/>
      <c r="J108"/>
    </row>
    <row r="109" spans="1:10" x14ac:dyDescent="0.25">
      <c r="A109"/>
      <c r="B109"/>
      <c r="C109"/>
      <c r="E109"/>
      <c r="F109"/>
      <c r="G109"/>
      <c r="H109"/>
      <c r="I109"/>
      <c r="J109"/>
    </row>
    <row r="110" spans="1:10" x14ac:dyDescent="0.25">
      <c r="A110"/>
      <c r="B110"/>
      <c r="C110"/>
      <c r="E110"/>
      <c r="F110"/>
      <c r="G110"/>
      <c r="H110"/>
      <c r="I110"/>
      <c r="J110"/>
    </row>
    <row r="111" spans="1:10" x14ac:dyDescent="0.25">
      <c r="A111"/>
      <c r="B111"/>
      <c r="C111"/>
      <c r="E111"/>
      <c r="F111"/>
      <c r="G111"/>
      <c r="H111"/>
      <c r="I111"/>
      <c r="J111"/>
    </row>
    <row r="112" spans="1:10" x14ac:dyDescent="0.25">
      <c r="A112"/>
      <c r="B112"/>
      <c r="C112"/>
      <c r="E112"/>
      <c r="F112"/>
      <c r="G112"/>
      <c r="H112"/>
      <c r="I112"/>
      <c r="J112"/>
    </row>
    <row r="113" spans="1:10" x14ac:dyDescent="0.25">
      <c r="A113"/>
      <c r="B113"/>
      <c r="C113"/>
      <c r="E113"/>
      <c r="F113"/>
      <c r="G113"/>
      <c r="H113"/>
      <c r="I113"/>
      <c r="J113"/>
    </row>
    <row r="114" spans="1:10" x14ac:dyDescent="0.25">
      <c r="A114"/>
      <c r="B114"/>
      <c r="C114"/>
      <c r="E114"/>
      <c r="F114"/>
      <c r="G114"/>
      <c r="H114"/>
      <c r="I114"/>
      <c r="J114"/>
    </row>
    <row r="115" spans="1:10" x14ac:dyDescent="0.25">
      <c r="A115"/>
      <c r="B115"/>
      <c r="C115"/>
      <c r="E115"/>
      <c r="F115"/>
      <c r="G115"/>
      <c r="H115"/>
      <c r="I115"/>
      <c r="J115"/>
    </row>
    <row r="116" spans="1:10" x14ac:dyDescent="0.25">
      <c r="A116"/>
      <c r="B116"/>
      <c r="C116"/>
      <c r="E116"/>
      <c r="F116"/>
      <c r="G116"/>
      <c r="H116"/>
      <c r="I116"/>
      <c r="J116"/>
    </row>
    <row r="117" spans="1:10" x14ac:dyDescent="0.25">
      <c r="A117"/>
      <c r="B117"/>
      <c r="C117"/>
      <c r="E117"/>
      <c r="F117"/>
      <c r="G117"/>
      <c r="H117"/>
      <c r="I117"/>
      <c r="J117"/>
    </row>
    <row r="118" spans="1:10" x14ac:dyDescent="0.25">
      <c r="A118"/>
      <c r="B118"/>
      <c r="C118"/>
      <c r="E118"/>
      <c r="F118"/>
      <c r="G118"/>
      <c r="H118"/>
      <c r="I118"/>
      <c r="J118"/>
    </row>
    <row r="119" spans="1:10" x14ac:dyDescent="0.25">
      <c r="A119"/>
      <c r="B119"/>
      <c r="C119"/>
      <c r="E119"/>
      <c r="F119"/>
      <c r="G119"/>
      <c r="H119"/>
      <c r="I119"/>
      <c r="J119"/>
    </row>
    <row r="120" spans="1:10" x14ac:dyDescent="0.25">
      <c r="A120"/>
      <c r="B120"/>
      <c r="C120"/>
      <c r="E120"/>
      <c r="F120"/>
      <c r="G120"/>
      <c r="H120"/>
      <c r="I120"/>
      <c r="J120"/>
    </row>
    <row r="121" spans="1:10" x14ac:dyDescent="0.25">
      <c r="A121"/>
      <c r="B121"/>
      <c r="C121"/>
      <c r="E121"/>
      <c r="F121"/>
      <c r="G121"/>
      <c r="H121"/>
      <c r="I121"/>
      <c r="J121"/>
    </row>
    <row r="122" spans="1:10" x14ac:dyDescent="0.25">
      <c r="A122"/>
      <c r="B122"/>
      <c r="C122"/>
      <c r="E122"/>
      <c r="F122"/>
      <c r="G122"/>
      <c r="H122"/>
      <c r="I122"/>
      <c r="J122"/>
    </row>
    <row r="123" spans="1:10" x14ac:dyDescent="0.25">
      <c r="A123"/>
      <c r="B123"/>
      <c r="C123"/>
      <c r="E123"/>
      <c r="F123"/>
      <c r="G123"/>
      <c r="H123"/>
      <c r="I123"/>
      <c r="J123"/>
    </row>
    <row r="124" spans="1:10" x14ac:dyDescent="0.25">
      <c r="A124"/>
      <c r="B124"/>
      <c r="C124"/>
      <c r="E124"/>
      <c r="F124"/>
      <c r="G124"/>
      <c r="H124"/>
      <c r="I124"/>
      <c r="J124"/>
    </row>
    <row r="125" spans="1:10" x14ac:dyDescent="0.25">
      <c r="A125"/>
      <c r="B125"/>
      <c r="C125"/>
      <c r="E125"/>
      <c r="F125"/>
      <c r="G125"/>
      <c r="H125"/>
      <c r="I125"/>
      <c r="J125"/>
    </row>
    <row r="126" spans="1:10" x14ac:dyDescent="0.25">
      <c r="A126"/>
      <c r="B126"/>
      <c r="C126"/>
      <c r="E126"/>
      <c r="F126"/>
      <c r="G126"/>
      <c r="H126"/>
      <c r="I126"/>
      <c r="J126"/>
    </row>
    <row r="127" spans="1:10" x14ac:dyDescent="0.25">
      <c r="A127"/>
      <c r="B127"/>
      <c r="C127"/>
      <c r="E127"/>
      <c r="F127"/>
      <c r="G127"/>
      <c r="H127"/>
      <c r="I127"/>
      <c r="J127"/>
    </row>
    <row r="128" spans="1:10" x14ac:dyDescent="0.25">
      <c r="A128"/>
      <c r="B128"/>
      <c r="C128"/>
      <c r="E128"/>
      <c r="F128"/>
      <c r="G128"/>
      <c r="H128"/>
      <c r="I128"/>
      <c r="J128"/>
    </row>
    <row r="129" spans="1:10" x14ac:dyDescent="0.25">
      <c r="A129"/>
      <c r="B129"/>
      <c r="C129"/>
      <c r="E129"/>
      <c r="F129"/>
      <c r="G129"/>
      <c r="H129"/>
      <c r="I129"/>
      <c r="J129"/>
    </row>
    <row r="130" spans="1:10" x14ac:dyDescent="0.25">
      <c r="A130"/>
      <c r="B130"/>
      <c r="C130"/>
      <c r="E130"/>
      <c r="F130"/>
      <c r="G130"/>
      <c r="H130"/>
      <c r="I130"/>
      <c r="J130"/>
    </row>
    <row r="131" spans="1:10" x14ac:dyDescent="0.25">
      <c r="A131"/>
      <c r="B131"/>
      <c r="C131"/>
      <c r="E131"/>
      <c r="F131"/>
      <c r="G131"/>
      <c r="H131"/>
      <c r="I131"/>
      <c r="J131"/>
    </row>
    <row r="132" spans="1:10" x14ac:dyDescent="0.25">
      <c r="A132"/>
      <c r="B132"/>
      <c r="C132"/>
      <c r="E132"/>
      <c r="F132"/>
      <c r="G132"/>
      <c r="H132"/>
      <c r="I132"/>
      <c r="J132"/>
    </row>
    <row r="133" spans="1:10" x14ac:dyDescent="0.25">
      <c r="A133"/>
      <c r="B133"/>
      <c r="C133"/>
      <c r="E133"/>
      <c r="F133"/>
      <c r="G133"/>
      <c r="H133"/>
      <c r="I133"/>
      <c r="J133"/>
    </row>
    <row r="134" spans="1:10" x14ac:dyDescent="0.25">
      <c r="A134"/>
      <c r="B134"/>
      <c r="C134"/>
      <c r="E134"/>
      <c r="F134"/>
      <c r="G134"/>
      <c r="H134"/>
      <c r="I134"/>
      <c r="J134"/>
    </row>
    <row r="135" spans="1:10" x14ac:dyDescent="0.25">
      <c r="A135"/>
      <c r="B135"/>
      <c r="C135"/>
      <c r="E135"/>
      <c r="F135"/>
      <c r="G135"/>
      <c r="H135"/>
      <c r="I135"/>
      <c r="J135"/>
    </row>
    <row r="136" spans="1:10" x14ac:dyDescent="0.25">
      <c r="A136"/>
      <c r="B136"/>
      <c r="C136"/>
      <c r="E136"/>
      <c r="F136"/>
      <c r="G136"/>
      <c r="H136"/>
      <c r="I136"/>
      <c r="J136"/>
    </row>
    <row r="137" spans="1:10" x14ac:dyDescent="0.25">
      <c r="A137"/>
      <c r="B137"/>
      <c r="C137"/>
      <c r="E137"/>
      <c r="F137"/>
      <c r="G137"/>
      <c r="H137"/>
      <c r="I137"/>
      <c r="J137"/>
    </row>
    <row r="138" spans="1:10" x14ac:dyDescent="0.25">
      <c r="A138"/>
      <c r="B138"/>
      <c r="C138"/>
      <c r="E138"/>
      <c r="F138"/>
      <c r="G138"/>
      <c r="H138"/>
      <c r="I138"/>
      <c r="J138"/>
    </row>
    <row r="139" spans="1:10" x14ac:dyDescent="0.25">
      <c r="A139"/>
      <c r="B139"/>
      <c r="C139"/>
      <c r="E139"/>
      <c r="F139"/>
      <c r="G139"/>
      <c r="H139"/>
      <c r="I139"/>
      <c r="J139"/>
    </row>
    <row r="140" spans="1:10" x14ac:dyDescent="0.25">
      <c r="A140"/>
      <c r="B140"/>
      <c r="C140"/>
      <c r="E140"/>
      <c r="F140"/>
      <c r="G140"/>
      <c r="H140"/>
      <c r="I140"/>
      <c r="J140"/>
    </row>
    <row r="141" spans="1:10" x14ac:dyDescent="0.25">
      <c r="A141"/>
      <c r="B141"/>
      <c r="C141"/>
      <c r="E141"/>
      <c r="F141"/>
      <c r="G141"/>
      <c r="H141"/>
      <c r="I141"/>
      <c r="J141"/>
    </row>
    <row r="142" spans="1:10" x14ac:dyDescent="0.25">
      <c r="A142"/>
      <c r="B142"/>
      <c r="C142"/>
      <c r="E142"/>
      <c r="F142"/>
      <c r="G142"/>
      <c r="H142"/>
      <c r="I142"/>
      <c r="J142"/>
    </row>
    <row r="143" spans="1:10" x14ac:dyDescent="0.25">
      <c r="A143"/>
      <c r="B143"/>
      <c r="C143"/>
      <c r="E143"/>
      <c r="F143"/>
      <c r="G143"/>
      <c r="H143"/>
      <c r="I143"/>
      <c r="J143"/>
    </row>
    <row r="144" spans="1:10" x14ac:dyDescent="0.25">
      <c r="A144"/>
      <c r="B144"/>
      <c r="C144"/>
      <c r="E144"/>
      <c r="F144"/>
      <c r="G144"/>
      <c r="H144"/>
      <c r="I144"/>
      <c r="J144"/>
    </row>
    <row r="145" spans="1:10" x14ac:dyDescent="0.25">
      <c r="A145"/>
      <c r="B145"/>
      <c r="C145"/>
      <c r="E145"/>
      <c r="F145"/>
      <c r="G145"/>
      <c r="H145"/>
      <c r="I145"/>
      <c r="J145"/>
    </row>
    <row r="146" spans="1:10" x14ac:dyDescent="0.25">
      <c r="A146"/>
      <c r="B146"/>
      <c r="C146"/>
      <c r="E146"/>
      <c r="F146"/>
      <c r="G146"/>
      <c r="H146"/>
      <c r="I146"/>
      <c r="J146"/>
    </row>
    <row r="147" spans="1:10" x14ac:dyDescent="0.25">
      <c r="A147"/>
      <c r="B147"/>
      <c r="C147"/>
      <c r="E147"/>
      <c r="F147"/>
      <c r="G147"/>
      <c r="H147"/>
      <c r="I147"/>
      <c r="J147"/>
    </row>
    <row r="148" spans="1:10" x14ac:dyDescent="0.25">
      <c r="A148"/>
      <c r="B148"/>
      <c r="C148"/>
      <c r="E148"/>
      <c r="F148"/>
      <c r="G148"/>
      <c r="H148"/>
      <c r="I148"/>
      <c r="J148"/>
    </row>
    <row r="149" spans="1:10" x14ac:dyDescent="0.25">
      <c r="A149"/>
      <c r="B149"/>
      <c r="C149"/>
      <c r="E149"/>
      <c r="F149"/>
      <c r="G149"/>
      <c r="H149"/>
      <c r="I149"/>
      <c r="J149"/>
    </row>
    <row r="150" spans="1:10" x14ac:dyDescent="0.25">
      <c r="A150"/>
      <c r="B150"/>
      <c r="C150"/>
      <c r="E150"/>
      <c r="F150"/>
      <c r="G150"/>
      <c r="H150"/>
      <c r="I150"/>
      <c r="J150"/>
    </row>
    <row r="151" spans="1:10" x14ac:dyDescent="0.25">
      <c r="A151"/>
      <c r="B151"/>
      <c r="C151"/>
      <c r="E151"/>
      <c r="F151"/>
      <c r="G151"/>
      <c r="H151"/>
      <c r="I151"/>
      <c r="J151"/>
    </row>
    <row r="152" spans="1:10" x14ac:dyDescent="0.25">
      <c r="A152"/>
      <c r="B152"/>
      <c r="C152"/>
      <c r="E152"/>
      <c r="F152"/>
      <c r="G152"/>
      <c r="H152"/>
      <c r="I152"/>
      <c r="J152"/>
    </row>
    <row r="153" spans="1:10" x14ac:dyDescent="0.25">
      <c r="A153"/>
      <c r="B153"/>
      <c r="C153"/>
      <c r="E153"/>
      <c r="F153"/>
      <c r="G153"/>
      <c r="H153"/>
      <c r="I153"/>
      <c r="J153"/>
    </row>
    <row r="154" spans="1:10" x14ac:dyDescent="0.25">
      <c r="A154"/>
      <c r="B154"/>
      <c r="C154"/>
      <c r="E154"/>
      <c r="F154"/>
      <c r="G154"/>
      <c r="H154"/>
      <c r="I154"/>
      <c r="J154"/>
    </row>
    <row r="155" spans="1:10" x14ac:dyDescent="0.25">
      <c r="A155"/>
      <c r="B155"/>
      <c r="C155"/>
      <c r="E155"/>
      <c r="F155"/>
      <c r="G155"/>
      <c r="H155"/>
      <c r="I155"/>
      <c r="J155"/>
    </row>
    <row r="156" spans="1:10" x14ac:dyDescent="0.25">
      <c r="A156"/>
      <c r="B156"/>
      <c r="C156"/>
      <c r="E156"/>
      <c r="F156"/>
      <c r="G156"/>
      <c r="H156"/>
      <c r="I156"/>
      <c r="J156"/>
    </row>
    <row r="157" spans="1:10" x14ac:dyDescent="0.25">
      <c r="A157"/>
      <c r="B157"/>
      <c r="C157"/>
      <c r="E157"/>
      <c r="F157"/>
      <c r="G157"/>
      <c r="H157"/>
      <c r="I157"/>
      <c r="J157"/>
    </row>
    <row r="158" spans="1:10" x14ac:dyDescent="0.25">
      <c r="A158"/>
      <c r="B158"/>
      <c r="C158"/>
      <c r="E158"/>
      <c r="F158"/>
      <c r="G158"/>
      <c r="H158"/>
      <c r="I158"/>
      <c r="J158"/>
    </row>
    <row r="159" spans="1:10" x14ac:dyDescent="0.25">
      <c r="A159"/>
      <c r="B159"/>
      <c r="C159"/>
      <c r="E159"/>
      <c r="F159"/>
      <c r="G159"/>
      <c r="H159"/>
      <c r="I159"/>
      <c r="J159"/>
    </row>
    <row r="160" spans="1:10" x14ac:dyDescent="0.25">
      <c r="A160"/>
      <c r="B160"/>
      <c r="C160"/>
      <c r="E160"/>
      <c r="F160"/>
      <c r="G160"/>
      <c r="H160"/>
      <c r="I160"/>
      <c r="J160"/>
    </row>
    <row r="161" spans="1:10" x14ac:dyDescent="0.25">
      <c r="A161"/>
      <c r="B161"/>
      <c r="C161"/>
      <c r="E161"/>
      <c r="F161"/>
      <c r="G161"/>
      <c r="H161"/>
      <c r="I161"/>
      <c r="J161"/>
    </row>
    <row r="162" spans="1:10" x14ac:dyDescent="0.25">
      <c r="A162"/>
      <c r="B162"/>
      <c r="C162"/>
      <c r="E162"/>
      <c r="F162"/>
      <c r="G162"/>
      <c r="H162"/>
      <c r="I162"/>
      <c r="J162"/>
    </row>
    <row r="163" spans="1:10" x14ac:dyDescent="0.25">
      <c r="A163"/>
      <c r="B163"/>
      <c r="C163"/>
      <c r="E163"/>
      <c r="F163"/>
      <c r="G163"/>
      <c r="H163"/>
      <c r="I163"/>
      <c r="J163"/>
    </row>
    <row r="164" spans="1:10" x14ac:dyDescent="0.25">
      <c r="A164"/>
      <c r="B164"/>
      <c r="C164"/>
      <c r="E164"/>
      <c r="F164"/>
      <c r="G164"/>
      <c r="H164"/>
      <c r="I164"/>
      <c r="J164"/>
    </row>
    <row r="165" spans="1:10" x14ac:dyDescent="0.25">
      <c r="A165"/>
      <c r="B165"/>
      <c r="C165"/>
      <c r="E165"/>
      <c r="F165"/>
      <c r="G165"/>
      <c r="H165"/>
      <c r="I165"/>
      <c r="J165"/>
    </row>
    <row r="166" spans="1:10" x14ac:dyDescent="0.25">
      <c r="A166"/>
      <c r="B166"/>
      <c r="C166"/>
      <c r="E166"/>
      <c r="F166"/>
      <c r="G166"/>
      <c r="H166"/>
      <c r="I166"/>
      <c r="J166"/>
    </row>
    <row r="167" spans="1:10" x14ac:dyDescent="0.25">
      <c r="A167"/>
      <c r="B167"/>
      <c r="C167"/>
      <c r="E167"/>
      <c r="F167"/>
      <c r="G167"/>
      <c r="H167"/>
      <c r="I167"/>
      <c r="J167"/>
    </row>
    <row r="168" spans="1:10" x14ac:dyDescent="0.25">
      <c r="A168"/>
      <c r="B168"/>
      <c r="C168"/>
      <c r="E168"/>
      <c r="F168"/>
      <c r="G168"/>
      <c r="H168"/>
      <c r="I168"/>
      <c r="J168"/>
    </row>
    <row r="169" spans="1:10" x14ac:dyDescent="0.25">
      <c r="A169"/>
      <c r="B169"/>
      <c r="C169"/>
      <c r="E169"/>
      <c r="F169"/>
      <c r="G169"/>
      <c r="H169"/>
      <c r="I169"/>
      <c r="J169"/>
    </row>
    <row r="170" spans="1:10" x14ac:dyDescent="0.25">
      <c r="A170"/>
      <c r="B170"/>
      <c r="C170"/>
      <c r="E170"/>
      <c r="F170"/>
      <c r="G170"/>
      <c r="H170"/>
      <c r="I170"/>
      <c r="J170"/>
    </row>
    <row r="171" spans="1:10" x14ac:dyDescent="0.25">
      <c r="A171"/>
      <c r="B171"/>
      <c r="C171"/>
      <c r="E171"/>
      <c r="F171"/>
      <c r="G171"/>
      <c r="H171"/>
      <c r="I171"/>
      <c r="J171"/>
    </row>
    <row r="172" spans="1:10" x14ac:dyDescent="0.25">
      <c r="A172"/>
      <c r="B172"/>
      <c r="C172"/>
      <c r="E172"/>
      <c r="F172"/>
      <c r="G172"/>
      <c r="H172"/>
      <c r="I172"/>
      <c r="J172"/>
    </row>
    <row r="173" spans="1:10" x14ac:dyDescent="0.25">
      <c r="A173"/>
      <c r="B173"/>
      <c r="C173"/>
      <c r="E173"/>
      <c r="F173"/>
      <c r="G173"/>
      <c r="H173"/>
      <c r="I173"/>
      <c r="J173"/>
    </row>
    <row r="174" spans="1:10" x14ac:dyDescent="0.25">
      <c r="A174"/>
      <c r="B174"/>
      <c r="C174"/>
      <c r="E174"/>
      <c r="F174"/>
      <c r="G174"/>
      <c r="H174"/>
      <c r="I174"/>
      <c r="J174"/>
    </row>
    <row r="175" spans="1:10" x14ac:dyDescent="0.25">
      <c r="A175"/>
      <c r="B175"/>
      <c r="C175"/>
      <c r="E175"/>
      <c r="F175"/>
      <c r="G175"/>
      <c r="H175"/>
      <c r="I175"/>
      <c r="J175"/>
    </row>
    <row r="176" spans="1:10" ht="15.75" thickBot="1" x14ac:dyDescent="0.3">
      <c r="A176"/>
      <c r="B176"/>
      <c r="C176"/>
      <c r="D176" s="50"/>
      <c r="E176"/>
      <c r="F176"/>
      <c r="G176"/>
      <c r="H176"/>
      <c r="I176"/>
      <c r="J176"/>
    </row>
    <row r="177" spans="5:10" x14ac:dyDescent="0.25">
      <c r="E177"/>
      <c r="F177"/>
      <c r="G177"/>
      <c r="H177"/>
      <c r="I177"/>
      <c r="J177"/>
    </row>
    <row r="178" spans="5:10" x14ac:dyDescent="0.25">
      <c r="E178"/>
      <c r="F178"/>
      <c r="G178"/>
      <c r="H178"/>
      <c r="I178"/>
      <c r="J178"/>
    </row>
    <row r="179" spans="5:10" x14ac:dyDescent="0.25">
      <c r="E179"/>
      <c r="F179"/>
      <c r="G179"/>
      <c r="H179"/>
      <c r="I179"/>
      <c r="J179"/>
    </row>
    <row r="180" spans="5:10" x14ac:dyDescent="0.25">
      <c r="E180"/>
      <c r="F180"/>
      <c r="G180"/>
      <c r="H180"/>
      <c r="I180"/>
      <c r="J180"/>
    </row>
    <row r="181" spans="5:10" x14ac:dyDescent="0.25">
      <c r="E181"/>
      <c r="F181"/>
      <c r="G181"/>
      <c r="H181"/>
      <c r="I181"/>
      <c r="J181"/>
    </row>
    <row r="182" spans="5:10" x14ac:dyDescent="0.25">
      <c r="E182"/>
      <c r="F182"/>
      <c r="G182"/>
      <c r="H182"/>
      <c r="I182"/>
      <c r="J182"/>
    </row>
    <row r="183" spans="5:10" x14ac:dyDescent="0.25">
      <c r="E183"/>
      <c r="F183"/>
      <c r="G183"/>
      <c r="H183"/>
      <c r="I183"/>
      <c r="J183"/>
    </row>
    <row r="184" spans="5:10" x14ac:dyDescent="0.25">
      <c r="E184"/>
      <c r="F184"/>
      <c r="G184"/>
      <c r="H184"/>
      <c r="I184"/>
      <c r="J184"/>
    </row>
    <row r="185" spans="5:10" x14ac:dyDescent="0.25">
      <c r="E185"/>
      <c r="F185"/>
      <c r="G185"/>
      <c r="H185"/>
      <c r="I185"/>
      <c r="J185"/>
    </row>
    <row r="186" spans="5:10" x14ac:dyDescent="0.25">
      <c r="E186"/>
      <c r="F186"/>
      <c r="G186"/>
      <c r="H186"/>
      <c r="I186"/>
      <c r="J186"/>
    </row>
    <row r="187" spans="5:10" x14ac:dyDescent="0.25">
      <c r="E187"/>
      <c r="F187"/>
      <c r="G187"/>
      <c r="H187"/>
      <c r="I187"/>
      <c r="J187"/>
    </row>
    <row r="188" spans="5:10" x14ac:dyDescent="0.25">
      <c r="E188"/>
      <c r="F188"/>
      <c r="G188"/>
      <c r="H188"/>
      <c r="I188"/>
      <c r="J188"/>
    </row>
    <row r="189" spans="5:10" x14ac:dyDescent="0.25">
      <c r="E189"/>
      <c r="F189"/>
      <c r="G189"/>
      <c r="H189"/>
      <c r="I189"/>
      <c r="J189"/>
    </row>
    <row r="190" spans="5:10" x14ac:dyDescent="0.25">
      <c r="E190"/>
      <c r="F190"/>
      <c r="G190"/>
      <c r="H190"/>
      <c r="I190"/>
      <c r="J190"/>
    </row>
    <row r="191" spans="5:10" x14ac:dyDescent="0.25">
      <c r="E191"/>
      <c r="F191"/>
      <c r="G191"/>
      <c r="H191"/>
      <c r="I191"/>
      <c r="J191"/>
    </row>
    <row r="192" spans="5:10" x14ac:dyDescent="0.25">
      <c r="E192"/>
      <c r="F192"/>
      <c r="G192"/>
      <c r="H192"/>
      <c r="I192"/>
      <c r="J192"/>
    </row>
    <row r="193" spans="1:10" x14ac:dyDescent="0.25">
      <c r="E193"/>
      <c r="F193"/>
      <c r="G193"/>
      <c r="H193"/>
      <c r="I193"/>
      <c r="J193"/>
    </row>
    <row r="194" spans="1:10" x14ac:dyDescent="0.25">
      <c r="E194"/>
      <c r="F194"/>
      <c r="G194"/>
      <c r="H194"/>
      <c r="I194"/>
      <c r="J194"/>
    </row>
    <row r="195" spans="1:10" x14ac:dyDescent="0.25">
      <c r="E195"/>
      <c r="F195"/>
      <c r="G195"/>
      <c r="H195"/>
      <c r="I195"/>
      <c r="J195"/>
    </row>
    <row r="196" spans="1:10" x14ac:dyDescent="0.25">
      <c r="E196"/>
      <c r="F196"/>
      <c r="G196"/>
      <c r="H196"/>
      <c r="I196"/>
      <c r="J196"/>
    </row>
    <row r="197" spans="1:10" x14ac:dyDescent="0.25">
      <c r="E197"/>
      <c r="F197"/>
      <c r="G197"/>
      <c r="H197"/>
      <c r="I197"/>
      <c r="J197"/>
    </row>
    <row r="198" spans="1:10" x14ac:dyDescent="0.25">
      <c r="E198"/>
      <c r="F198"/>
      <c r="G198"/>
      <c r="H198"/>
      <c r="I198"/>
      <c r="J198"/>
    </row>
    <row r="199" spans="1:10" x14ac:dyDescent="0.25">
      <c r="E199"/>
      <c r="F199"/>
      <c r="G199"/>
      <c r="H199"/>
      <c r="I199"/>
      <c r="J199"/>
    </row>
    <row r="200" spans="1:10" x14ac:dyDescent="0.25">
      <c r="E200"/>
      <c r="F200"/>
      <c r="G200"/>
      <c r="H200"/>
      <c r="I200"/>
      <c r="J200"/>
    </row>
    <row r="201" spans="1:10" x14ac:dyDescent="0.25">
      <c r="E201"/>
      <c r="F201"/>
      <c r="G201"/>
      <c r="H201"/>
      <c r="I201"/>
      <c r="J201"/>
    </row>
    <row r="202" spans="1:10" s="50" customFormat="1" ht="15.75" thickBot="1" x14ac:dyDescent="0.3">
      <c r="A202" s="30"/>
      <c r="B202" s="30"/>
      <c r="C202" s="30"/>
      <c r="D202" s="30"/>
      <c r="E202"/>
      <c r="F202"/>
      <c r="G202"/>
      <c r="H202"/>
      <c r="I202"/>
      <c r="J202"/>
    </row>
    <row r="203" spans="1:10" x14ac:dyDescent="0.25">
      <c r="E203"/>
      <c r="F203"/>
      <c r="G203"/>
      <c r="H203"/>
      <c r="I203"/>
      <c r="J203"/>
    </row>
    <row r="204" spans="1:10" x14ac:dyDescent="0.25">
      <c r="E204"/>
      <c r="F204"/>
      <c r="G204"/>
      <c r="H204"/>
      <c r="I204"/>
      <c r="J204"/>
    </row>
    <row r="205" spans="1:10" x14ac:dyDescent="0.25">
      <c r="E205"/>
      <c r="F205"/>
      <c r="G205"/>
      <c r="H205"/>
      <c r="I205"/>
      <c r="J205"/>
    </row>
    <row r="206" spans="1:10" x14ac:dyDescent="0.25">
      <c r="E206"/>
      <c r="F206"/>
      <c r="G206"/>
      <c r="H206"/>
      <c r="I206"/>
      <c r="J206"/>
    </row>
    <row r="207" spans="1:10" x14ac:dyDescent="0.25">
      <c r="E207"/>
      <c r="F207"/>
      <c r="G207"/>
      <c r="H207"/>
      <c r="I207"/>
      <c r="J207"/>
    </row>
    <row r="208" spans="1:10" x14ac:dyDescent="0.25">
      <c r="E208"/>
      <c r="F208"/>
      <c r="G208"/>
      <c r="H208"/>
      <c r="I208"/>
      <c r="J208"/>
    </row>
    <row r="209" spans="5:10" x14ac:dyDescent="0.25">
      <c r="E209"/>
      <c r="F209"/>
      <c r="G209"/>
      <c r="H209"/>
      <c r="I209"/>
      <c r="J209"/>
    </row>
    <row r="210" spans="5:10" x14ac:dyDescent="0.25">
      <c r="E210"/>
      <c r="F210"/>
      <c r="G210"/>
      <c r="H210"/>
      <c r="I210"/>
      <c r="J210"/>
    </row>
    <row r="211" spans="5:10" x14ac:dyDescent="0.25">
      <c r="E211"/>
      <c r="F211"/>
      <c r="G211"/>
      <c r="H211"/>
      <c r="I211"/>
      <c r="J211"/>
    </row>
    <row r="212" spans="5:10" x14ac:dyDescent="0.25">
      <c r="E212"/>
      <c r="F212"/>
      <c r="G212"/>
      <c r="H212"/>
      <c r="I212"/>
      <c r="J212"/>
    </row>
    <row r="213" spans="5:10" x14ac:dyDescent="0.25">
      <c r="E213"/>
      <c r="F213"/>
      <c r="G213"/>
      <c r="H213"/>
      <c r="I213"/>
      <c r="J213"/>
    </row>
    <row r="214" spans="5:10" x14ac:dyDescent="0.25">
      <c r="E214"/>
      <c r="F214"/>
      <c r="G214"/>
      <c r="H214"/>
      <c r="I214"/>
      <c r="J214"/>
    </row>
    <row r="215" spans="5:10" x14ac:dyDescent="0.25">
      <c r="E215"/>
      <c r="F215"/>
      <c r="G215"/>
      <c r="H215"/>
      <c r="I215"/>
      <c r="J215"/>
    </row>
    <row r="216" spans="5:10" x14ac:dyDescent="0.25">
      <c r="E216"/>
      <c r="F216"/>
      <c r="G216"/>
      <c r="H216"/>
      <c r="I216"/>
      <c r="J216"/>
    </row>
    <row r="217" spans="5:10" x14ac:dyDescent="0.25">
      <c r="E217"/>
      <c r="F217"/>
      <c r="G217"/>
      <c r="H217"/>
      <c r="I217"/>
      <c r="J217"/>
    </row>
    <row r="218" spans="5:10" x14ac:dyDescent="0.25">
      <c r="E218"/>
      <c r="F218"/>
      <c r="G218"/>
      <c r="H218"/>
      <c r="I218"/>
      <c r="J218"/>
    </row>
    <row r="219" spans="5:10" x14ac:dyDescent="0.25">
      <c r="E219"/>
      <c r="F219"/>
      <c r="G219"/>
      <c r="H219"/>
      <c r="I219"/>
      <c r="J219"/>
    </row>
    <row r="220" spans="5:10" x14ac:dyDescent="0.25">
      <c r="E220"/>
      <c r="F220"/>
      <c r="G220"/>
      <c r="H220"/>
      <c r="I220"/>
      <c r="J220"/>
    </row>
    <row r="221" spans="5:10" x14ac:dyDescent="0.25">
      <c r="E221"/>
      <c r="F221"/>
      <c r="G221"/>
      <c r="H221"/>
      <c r="I221"/>
      <c r="J221"/>
    </row>
    <row r="222" spans="5:10" x14ac:dyDescent="0.25">
      <c r="E222"/>
      <c r="F222"/>
      <c r="G222"/>
      <c r="H222"/>
      <c r="I222"/>
      <c r="J222"/>
    </row>
    <row r="223" spans="5:10" x14ac:dyDescent="0.25">
      <c r="E223"/>
      <c r="F223"/>
      <c r="G223"/>
      <c r="H223"/>
      <c r="I223"/>
      <c r="J223"/>
    </row>
    <row r="224" spans="5:10" x14ac:dyDescent="0.25">
      <c r="E224"/>
      <c r="F224"/>
      <c r="G224"/>
      <c r="H224"/>
      <c r="I224"/>
      <c r="J224"/>
    </row>
    <row r="225" spans="5:10" x14ac:dyDescent="0.25">
      <c r="E225"/>
      <c r="F225"/>
      <c r="G225"/>
      <c r="H225"/>
      <c r="I225"/>
      <c r="J225"/>
    </row>
    <row r="226" spans="5:10" x14ac:dyDescent="0.25">
      <c r="E226"/>
      <c r="F226"/>
      <c r="G226"/>
      <c r="H226"/>
      <c r="I226"/>
      <c r="J226"/>
    </row>
    <row r="227" spans="5:10" x14ac:dyDescent="0.25">
      <c r="E227"/>
      <c r="F227"/>
      <c r="G227"/>
      <c r="H227"/>
      <c r="I227"/>
      <c r="J227"/>
    </row>
    <row r="228" spans="5:10" x14ac:dyDescent="0.25">
      <c r="E228"/>
      <c r="F228"/>
      <c r="G228"/>
      <c r="H228"/>
      <c r="I228"/>
      <c r="J228"/>
    </row>
    <row r="229" spans="5:10" x14ac:dyDescent="0.25">
      <c r="E229"/>
      <c r="F229"/>
      <c r="G229"/>
      <c r="H229"/>
      <c r="I229"/>
      <c r="J229"/>
    </row>
    <row r="230" spans="5:10" x14ac:dyDescent="0.25">
      <c r="E230"/>
      <c r="F230"/>
      <c r="G230"/>
      <c r="H230"/>
      <c r="I230"/>
      <c r="J230"/>
    </row>
    <row r="231" spans="5:10" x14ac:dyDescent="0.25">
      <c r="E231"/>
      <c r="F231"/>
      <c r="G231"/>
      <c r="H231"/>
      <c r="I231"/>
      <c r="J231"/>
    </row>
    <row r="232" spans="5:10" x14ac:dyDescent="0.25">
      <c r="E232"/>
      <c r="F232"/>
      <c r="G232"/>
      <c r="H232"/>
      <c r="I232"/>
      <c r="J232"/>
    </row>
    <row r="233" spans="5:10" x14ac:dyDescent="0.25">
      <c r="E233"/>
      <c r="F233"/>
      <c r="G233"/>
      <c r="H233"/>
      <c r="I233"/>
      <c r="J233"/>
    </row>
    <row r="234" spans="5:10" x14ac:dyDescent="0.25">
      <c r="E234"/>
      <c r="F234"/>
      <c r="G234"/>
      <c r="H234"/>
      <c r="I234"/>
      <c r="J234"/>
    </row>
    <row r="235" spans="5:10" x14ac:dyDescent="0.25">
      <c r="E235"/>
      <c r="F235"/>
      <c r="G235"/>
      <c r="H235"/>
      <c r="I235"/>
      <c r="J235"/>
    </row>
    <row r="236" spans="5:10" x14ac:dyDescent="0.25">
      <c r="E236"/>
      <c r="F236"/>
      <c r="G236"/>
      <c r="H236"/>
      <c r="I236"/>
      <c r="J236"/>
    </row>
    <row r="237" spans="5:10" x14ac:dyDescent="0.25">
      <c r="E237"/>
      <c r="F237"/>
      <c r="G237"/>
      <c r="H237"/>
      <c r="I237"/>
      <c r="J237"/>
    </row>
    <row r="238" spans="5:10" x14ac:dyDescent="0.25">
      <c r="E238"/>
      <c r="F238"/>
      <c r="G238"/>
      <c r="H238"/>
      <c r="I238"/>
      <c r="J238"/>
    </row>
    <row r="239" spans="5:10" x14ac:dyDescent="0.25">
      <c r="E239"/>
      <c r="F239"/>
      <c r="G239"/>
      <c r="H239"/>
      <c r="I239"/>
      <c r="J239"/>
    </row>
    <row r="240" spans="5:10" x14ac:dyDescent="0.25">
      <c r="E240"/>
      <c r="F240"/>
      <c r="G240"/>
      <c r="H240"/>
      <c r="I240"/>
      <c r="J240"/>
    </row>
    <row r="241" spans="5:10" x14ac:dyDescent="0.25">
      <c r="E241"/>
      <c r="F241"/>
      <c r="G241"/>
      <c r="H241"/>
      <c r="I241"/>
      <c r="J241"/>
    </row>
    <row r="242" spans="5:10" x14ac:dyDescent="0.25">
      <c r="E242"/>
      <c r="F242"/>
      <c r="G242"/>
      <c r="H242"/>
      <c r="I242"/>
      <c r="J242"/>
    </row>
    <row r="243" spans="5:10" x14ac:dyDescent="0.25">
      <c r="E243"/>
      <c r="F243"/>
      <c r="G243"/>
      <c r="H243"/>
      <c r="I243"/>
      <c r="J243"/>
    </row>
    <row r="244" spans="5:10" x14ac:dyDescent="0.25">
      <c r="E244"/>
      <c r="F244"/>
      <c r="G244"/>
      <c r="H244"/>
      <c r="I244"/>
      <c r="J244"/>
    </row>
    <row r="245" spans="5:10" x14ac:dyDescent="0.25">
      <c r="E245"/>
      <c r="F245"/>
      <c r="G245"/>
      <c r="H245"/>
      <c r="I245"/>
      <c r="J245"/>
    </row>
    <row r="246" spans="5:10" x14ac:dyDescent="0.25">
      <c r="E246"/>
      <c r="F246"/>
      <c r="G246"/>
      <c r="H246"/>
      <c r="I246"/>
      <c r="J246"/>
    </row>
    <row r="247" spans="5:10" x14ac:dyDescent="0.25">
      <c r="E247"/>
      <c r="F247"/>
      <c r="G247"/>
      <c r="H247"/>
      <c r="I247"/>
      <c r="J247"/>
    </row>
    <row r="248" spans="5:10" x14ac:dyDescent="0.25">
      <c r="E248"/>
      <c r="F248"/>
      <c r="G248"/>
      <c r="H248"/>
      <c r="I248"/>
      <c r="J248"/>
    </row>
    <row r="249" spans="5:10" x14ac:dyDescent="0.25">
      <c r="E249"/>
      <c r="F249"/>
      <c r="G249"/>
      <c r="H249"/>
      <c r="I249"/>
      <c r="J249"/>
    </row>
    <row r="250" spans="5:10" x14ac:dyDescent="0.25">
      <c r="E250"/>
      <c r="F250"/>
      <c r="G250"/>
      <c r="H250"/>
      <c r="I250"/>
      <c r="J250"/>
    </row>
    <row r="251" spans="5:10" x14ac:dyDescent="0.25">
      <c r="E251"/>
      <c r="F251"/>
      <c r="G251"/>
      <c r="H251"/>
      <c r="I251"/>
      <c r="J251"/>
    </row>
    <row r="252" spans="5:10" x14ac:dyDescent="0.25">
      <c r="E252"/>
      <c r="F252"/>
      <c r="G252"/>
      <c r="H252"/>
      <c r="I252"/>
      <c r="J252"/>
    </row>
    <row r="253" spans="5:10" x14ac:dyDescent="0.25">
      <c r="E253"/>
      <c r="F253"/>
      <c r="G253"/>
      <c r="H253"/>
      <c r="I253"/>
      <c r="J253"/>
    </row>
    <row r="254" spans="5:10" x14ac:dyDescent="0.25">
      <c r="E254"/>
      <c r="F254"/>
      <c r="G254"/>
      <c r="H254"/>
      <c r="I254"/>
      <c r="J254"/>
    </row>
    <row r="255" spans="5:10" x14ac:dyDescent="0.25">
      <c r="E255"/>
      <c r="F255"/>
      <c r="G255"/>
      <c r="H255"/>
      <c r="I255"/>
      <c r="J255"/>
    </row>
    <row r="256" spans="5:10" x14ac:dyDescent="0.25">
      <c r="E256"/>
      <c r="F256"/>
      <c r="G256"/>
      <c r="H256"/>
      <c r="I256"/>
      <c r="J256"/>
    </row>
    <row r="257" spans="5:10" x14ac:dyDescent="0.25">
      <c r="E257"/>
      <c r="F257"/>
      <c r="G257"/>
      <c r="H257"/>
      <c r="I257"/>
      <c r="J257"/>
    </row>
    <row r="258" spans="5:10" x14ac:dyDescent="0.25">
      <c r="E258"/>
      <c r="F258"/>
      <c r="G258"/>
      <c r="H258"/>
      <c r="I258"/>
      <c r="J258"/>
    </row>
    <row r="259" spans="5:10" x14ac:dyDescent="0.25">
      <c r="E259"/>
      <c r="F259"/>
      <c r="G259"/>
      <c r="H259"/>
      <c r="I259"/>
      <c r="J259"/>
    </row>
    <row r="260" spans="5:10" x14ac:dyDescent="0.25">
      <c r="E260"/>
      <c r="F260"/>
      <c r="G260"/>
      <c r="H260"/>
      <c r="I260"/>
      <c r="J260"/>
    </row>
    <row r="261" spans="5:10" x14ac:dyDescent="0.25">
      <c r="E261"/>
      <c r="F261"/>
      <c r="G261"/>
      <c r="H261"/>
      <c r="I261"/>
      <c r="J261"/>
    </row>
    <row r="262" spans="5:10" x14ac:dyDescent="0.25">
      <c r="E262"/>
      <c r="F262"/>
      <c r="G262"/>
      <c r="H262"/>
      <c r="I262"/>
      <c r="J262"/>
    </row>
    <row r="263" spans="5:10" x14ac:dyDescent="0.25">
      <c r="E263"/>
      <c r="F263"/>
      <c r="G263"/>
      <c r="H263"/>
      <c r="I263"/>
      <c r="J263"/>
    </row>
    <row r="264" spans="5:10" x14ac:dyDescent="0.25">
      <c r="E264"/>
      <c r="F264"/>
      <c r="G264"/>
      <c r="H264"/>
      <c r="I264"/>
      <c r="J264"/>
    </row>
    <row r="265" spans="5:10" x14ac:dyDescent="0.25">
      <c r="E265"/>
      <c r="F265"/>
      <c r="G265"/>
      <c r="H265"/>
      <c r="I265"/>
      <c r="J265"/>
    </row>
    <row r="266" spans="5:10" x14ac:dyDescent="0.25">
      <c r="E266"/>
      <c r="F266"/>
      <c r="G266"/>
      <c r="H266"/>
      <c r="I266"/>
      <c r="J266"/>
    </row>
    <row r="267" spans="5:10" x14ac:dyDescent="0.25">
      <c r="E267"/>
      <c r="F267"/>
      <c r="G267"/>
      <c r="H267"/>
      <c r="I267"/>
      <c r="J267"/>
    </row>
    <row r="268" spans="5:10" x14ac:dyDescent="0.25">
      <c r="E268"/>
      <c r="F268"/>
      <c r="G268"/>
      <c r="H268"/>
      <c r="I268"/>
      <c r="J268"/>
    </row>
    <row r="269" spans="5:10" x14ac:dyDescent="0.25">
      <c r="E269"/>
      <c r="F269"/>
      <c r="G269"/>
      <c r="H269"/>
      <c r="I269"/>
      <c r="J269"/>
    </row>
    <row r="270" spans="5:10" x14ac:dyDescent="0.25">
      <c r="E270"/>
      <c r="F270"/>
      <c r="G270"/>
      <c r="H270"/>
      <c r="I270"/>
      <c r="J270"/>
    </row>
    <row r="271" spans="5:10" x14ac:dyDescent="0.25">
      <c r="E271"/>
      <c r="F271"/>
      <c r="G271"/>
      <c r="H271"/>
      <c r="I271"/>
      <c r="J271"/>
    </row>
    <row r="272" spans="5:10" x14ac:dyDescent="0.25">
      <c r="E272"/>
      <c r="F272"/>
      <c r="G272"/>
      <c r="H272"/>
      <c r="I272"/>
      <c r="J272"/>
    </row>
    <row r="273" spans="5:10" x14ac:dyDescent="0.25">
      <c r="E273"/>
      <c r="F273"/>
      <c r="G273"/>
      <c r="H273"/>
      <c r="I273"/>
      <c r="J273"/>
    </row>
    <row r="274" spans="5:10" x14ac:dyDescent="0.25">
      <c r="E274"/>
      <c r="F274"/>
      <c r="G274"/>
      <c r="H274"/>
      <c r="I274"/>
      <c r="J274"/>
    </row>
    <row r="275" spans="5:10" x14ac:dyDescent="0.25">
      <c r="E275"/>
      <c r="F275"/>
      <c r="G275"/>
      <c r="H275"/>
      <c r="I275"/>
      <c r="J275"/>
    </row>
    <row r="276" spans="5:10" x14ac:dyDescent="0.25">
      <c r="J276"/>
    </row>
    <row r="277" spans="5:10" x14ac:dyDescent="0.25">
      <c r="J277"/>
    </row>
    <row r="278" spans="5:10" x14ac:dyDescent="0.25">
      <c r="J278"/>
    </row>
    <row r="279" spans="5:10" x14ac:dyDescent="0.25">
      <c r="J279"/>
    </row>
    <row r="280" spans="5:10" x14ac:dyDescent="0.25">
      <c r="J280"/>
    </row>
    <row r="281" spans="5:10" x14ac:dyDescent="0.25">
      <c r="J281"/>
    </row>
    <row r="282" spans="5:10" x14ac:dyDescent="0.25">
      <c r="J282"/>
    </row>
    <row r="283" spans="5:10" x14ac:dyDescent="0.25">
      <c r="J283"/>
    </row>
    <row r="284" spans="5:10" x14ac:dyDescent="0.25">
      <c r="J284"/>
    </row>
    <row r="285" spans="5:10" x14ac:dyDescent="0.25">
      <c r="J285"/>
    </row>
    <row r="286" spans="5:10" x14ac:dyDescent="0.25">
      <c r="J286"/>
    </row>
    <row r="287" spans="5:10" x14ac:dyDescent="0.25">
      <c r="J287"/>
    </row>
    <row r="288" spans="5:10" x14ac:dyDescent="0.25">
      <c r="J288"/>
    </row>
    <row r="289" spans="10:10" x14ac:dyDescent="0.25">
      <c r="J289"/>
    </row>
    <row r="290" spans="10:10" x14ac:dyDescent="0.25">
      <c r="J290"/>
    </row>
    <row r="291" spans="10:10" x14ac:dyDescent="0.25">
      <c r="J291"/>
    </row>
    <row r="292" spans="10:10" x14ac:dyDescent="0.25">
      <c r="J292"/>
    </row>
    <row r="293" spans="10:10" x14ac:dyDescent="0.25">
      <c r="J293"/>
    </row>
    <row r="294" spans="10:10" x14ac:dyDescent="0.25">
      <c r="J294"/>
    </row>
    <row r="295" spans="10:10" x14ac:dyDescent="0.25">
      <c r="J295"/>
    </row>
    <row r="296" spans="10:10" x14ac:dyDescent="0.25">
      <c r="J296"/>
    </row>
    <row r="297" spans="10:10" x14ac:dyDescent="0.25">
      <c r="J297"/>
    </row>
    <row r="298" spans="10:10" x14ac:dyDescent="0.25">
      <c r="J298"/>
    </row>
    <row r="299" spans="10:10" x14ac:dyDescent="0.25">
      <c r="J299"/>
    </row>
    <row r="300" spans="10:10" x14ac:dyDescent="0.25">
      <c r="J300"/>
    </row>
    <row r="301" spans="10:10" x14ac:dyDescent="0.25">
      <c r="J301"/>
    </row>
  </sheetData>
  <sheetProtection sheet="1" objects="1" scenarios="1" formatCells="0" autoFilter="0" pivotTables="0"/>
  <mergeCells count="7">
    <mergeCell ref="B29:F29"/>
    <mergeCell ref="B30:F30"/>
    <mergeCell ref="B31:F31"/>
    <mergeCell ref="A25:G25"/>
    <mergeCell ref="B26:F26"/>
    <mergeCell ref="B27:F27"/>
    <mergeCell ref="B28:F28"/>
  </mergeCells>
  <conditionalFormatting sqref="A28:B28 A25 G28 B8:F18">
    <cfRule type="cellIs" dxfId="22" priority="11" operator="equal">
      <formula>0</formula>
    </cfRule>
  </conditionalFormatting>
  <conditionalFormatting sqref="B26:B27 B29:B31 G26:G27 G29:G31">
    <cfRule type="cellIs" dxfId="21" priority="10" operator="equal">
      <formula>0</formula>
    </cfRule>
  </conditionalFormatting>
  <conditionalFormatting sqref="A25:A31 B26:B31">
    <cfRule type="cellIs" dxfId="20" priority="9" operator="equal">
      <formula>0</formula>
    </cfRule>
  </conditionalFormatting>
  <conditionalFormatting sqref="A22:A23">
    <cfRule type="cellIs" dxfId="19" priority="8" operator="equal">
      <formula>0</formula>
    </cfRule>
  </conditionalFormatting>
  <conditionalFormatting sqref="A22">
    <cfRule type="cellIs" dxfId="18" priority="7" operator="equal">
      <formula>0</formula>
    </cfRule>
  </conditionalFormatting>
  <conditionalFormatting sqref="B22:B23">
    <cfRule type="cellIs" dxfId="17" priority="6" operator="equal">
      <formula>0</formula>
    </cfRule>
  </conditionalFormatting>
  <conditionalFormatting sqref="B28:B31">
    <cfRule type="cellIs" dxfId="16" priority="5" operator="equal">
      <formula>0</formula>
    </cfRule>
  </conditionalFormatting>
  <conditionalFormatting sqref="B29:B31">
    <cfRule type="cellIs" dxfId="15" priority="4" operator="equal">
      <formula>0</formula>
    </cfRule>
  </conditionalFormatting>
  <conditionalFormatting sqref="G26:G31">
    <cfRule type="cellIs" dxfId="14" priority="3" operator="equal">
      <formula>0</formula>
    </cfRule>
  </conditionalFormatting>
  <conditionalFormatting sqref="G28:G31">
    <cfRule type="cellIs" dxfId="13" priority="2" operator="equal">
      <formula>0</formula>
    </cfRule>
  </conditionalFormatting>
  <conditionalFormatting sqref="G29:G31">
    <cfRule type="cellIs" dxfId="12" priority="1" operator="equal">
      <formula>0</formula>
    </cfRule>
  </conditionalFormatting>
  <dataValidations count="1">
    <dataValidation type="list" allowBlank="1" showInputMessage="1" showErrorMessage="1" sqref="A3" xr:uid="{4BA983B9-3EBB-4B84-BE6F-934BA1FFE84A}">
      <formula1>INDIRECT("Staff_Name[Staff Member]")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6A745-3757-4168-946F-0297693CF3A4}">
  <sheetPr codeName="Sheet3"/>
  <dimension ref="A1:X608"/>
  <sheetViews>
    <sheetView topLeftCell="A490" workbookViewId="0">
      <selection activeCell="D7" sqref="D7"/>
    </sheetView>
  </sheetViews>
  <sheetFormatPr defaultColWidth="8.7109375" defaultRowHeight="15" x14ac:dyDescent="0.25"/>
  <cols>
    <col min="1" max="1" width="12.5703125" style="27" bestFit="1" customWidth="1"/>
    <col min="2" max="2" width="20.140625" style="27" bestFit="1" customWidth="1"/>
    <col min="3" max="3" width="23.28515625" style="30" bestFit="1" customWidth="1"/>
    <col min="4" max="4" width="21.7109375" style="30" bestFit="1" customWidth="1"/>
    <col min="5" max="5" width="3.42578125" style="27" customWidth="1"/>
    <col min="6" max="6" width="12.5703125" style="27" bestFit="1" customWidth="1"/>
    <col min="7" max="7" width="20.140625" style="27" bestFit="1" customWidth="1"/>
    <col min="8" max="8" width="28.42578125" style="53" bestFit="1" customWidth="1"/>
    <col min="9" max="9" width="26.7109375" style="53" bestFit="1" customWidth="1"/>
    <col min="10" max="10" width="3.7109375" style="27" customWidth="1"/>
    <col min="11" max="11" width="12.5703125" style="27" bestFit="1" customWidth="1"/>
    <col min="12" max="12" width="20.140625" style="27" bestFit="1" customWidth="1"/>
    <col min="13" max="13" width="25.85546875" style="53" bestFit="1" customWidth="1"/>
    <col min="14" max="14" width="21.7109375" style="53" bestFit="1" customWidth="1"/>
    <col min="15" max="15" width="3.42578125" style="27" customWidth="1"/>
    <col min="16" max="16" width="12.5703125" style="27" bestFit="1" customWidth="1"/>
    <col min="17" max="17" width="20.140625" style="27" bestFit="1" customWidth="1"/>
    <col min="18" max="18" width="34.5703125" style="53" bestFit="1" customWidth="1"/>
    <col min="19" max="19" width="30.42578125" style="53" bestFit="1" customWidth="1"/>
    <col min="20" max="20" width="6.5703125" style="27" bestFit="1" customWidth="1"/>
    <col min="21" max="21" width="12.5703125" style="27" bestFit="1" customWidth="1"/>
    <col min="22" max="22" width="20.140625" style="27" bestFit="1" customWidth="1"/>
    <col min="23" max="23" width="32" style="53" bestFit="1" customWidth="1"/>
    <col min="24" max="24" width="27.85546875" style="27" bestFit="1" customWidth="1"/>
    <col min="25" max="16384" width="8.7109375" style="27"/>
  </cols>
  <sheetData>
    <row r="1" spans="1:24" x14ac:dyDescent="0.25">
      <c r="A1" s="121" t="s">
        <v>1</v>
      </c>
    </row>
    <row r="2" spans="1:24" s="29" customFormat="1" x14ac:dyDescent="0.25">
      <c r="A2" s="173" t="s">
        <v>200</v>
      </c>
      <c r="B2" s="173"/>
      <c r="C2" s="173"/>
      <c r="D2" s="70"/>
      <c r="F2" s="169" t="s">
        <v>201</v>
      </c>
      <c r="G2" s="169"/>
      <c r="H2" s="169"/>
      <c r="I2" s="67"/>
      <c r="K2" s="170" t="s">
        <v>200</v>
      </c>
      <c r="L2" s="170"/>
      <c r="M2" s="170"/>
      <c r="N2" s="68"/>
      <c r="P2" s="171" t="s">
        <v>202</v>
      </c>
      <c r="Q2" s="171"/>
      <c r="R2" s="171"/>
      <c r="S2" s="69"/>
      <c r="U2" s="172" t="s">
        <v>203</v>
      </c>
      <c r="V2" s="172"/>
      <c r="W2" s="172"/>
    </row>
    <row r="3" spans="1:24" x14ac:dyDescent="0.25">
      <c r="A3" s="28" t="s">
        <v>18</v>
      </c>
      <c r="B3" s="28" t="s">
        <v>5</v>
      </c>
      <c r="C3" s="27" t="s">
        <v>19</v>
      </c>
      <c r="D3" s="30" t="s">
        <v>204</v>
      </c>
      <c r="F3" s="28" t="s">
        <v>18</v>
      </c>
      <c r="G3" s="28" t="s">
        <v>5</v>
      </c>
      <c r="H3" s="27" t="s">
        <v>205</v>
      </c>
      <c r="I3" s="30" t="s">
        <v>206</v>
      </c>
      <c r="K3" s="28" t="s">
        <v>18</v>
      </c>
      <c r="L3" s="28" t="s">
        <v>5</v>
      </c>
      <c r="M3" s="27" t="s">
        <v>207</v>
      </c>
      <c r="N3" s="30" t="s">
        <v>208</v>
      </c>
      <c r="P3" s="28" t="s">
        <v>18</v>
      </c>
      <c r="Q3" s="28" t="s">
        <v>5</v>
      </c>
      <c r="R3" s="27" t="s">
        <v>209</v>
      </c>
      <c r="S3" s="30" t="s">
        <v>210</v>
      </c>
      <c r="U3" s="28" t="s">
        <v>18</v>
      </c>
      <c r="V3" s="28" t="s">
        <v>5</v>
      </c>
      <c r="W3" s="27" t="s">
        <v>211</v>
      </c>
      <c r="X3" s="30" t="s">
        <v>212</v>
      </c>
    </row>
    <row r="4" spans="1:24" x14ac:dyDescent="0.25">
      <c r="A4" s="27" t="s">
        <v>27</v>
      </c>
      <c r="C4" s="27">
        <v>0</v>
      </c>
      <c r="D4" s="30">
        <v>0</v>
      </c>
      <c r="F4" s="27" t="s">
        <v>29</v>
      </c>
      <c r="H4" s="27">
        <v>0</v>
      </c>
      <c r="I4" s="30"/>
      <c r="K4" s="27" t="s">
        <v>29</v>
      </c>
      <c r="M4" s="27">
        <v>0</v>
      </c>
      <c r="N4" s="30"/>
      <c r="P4" s="27" t="s">
        <v>29</v>
      </c>
      <c r="R4" s="27">
        <v>0</v>
      </c>
      <c r="S4" s="30">
        <v>0</v>
      </c>
      <c r="U4" s="27" t="s">
        <v>29</v>
      </c>
      <c r="W4" s="27">
        <v>0</v>
      </c>
      <c r="X4" s="30"/>
    </row>
    <row r="5" spans="1:24" x14ac:dyDescent="0.25">
      <c r="A5" s="27" t="s">
        <v>27</v>
      </c>
      <c r="B5" s="27" t="s">
        <v>27</v>
      </c>
      <c r="C5" s="27">
        <v>0</v>
      </c>
      <c r="F5" s="27" t="s">
        <v>29</v>
      </c>
      <c r="G5" s="27" t="s">
        <v>828</v>
      </c>
      <c r="H5" s="27">
        <v>0</v>
      </c>
      <c r="I5" s="30"/>
      <c r="K5" s="27" t="s">
        <v>29</v>
      </c>
      <c r="L5" s="27" t="s">
        <v>828</v>
      </c>
      <c r="M5" s="27">
        <v>0</v>
      </c>
      <c r="N5" s="30"/>
      <c r="P5" s="27" t="s">
        <v>29</v>
      </c>
      <c r="Q5" s="27" t="s">
        <v>828</v>
      </c>
      <c r="R5" s="27">
        <v>0</v>
      </c>
      <c r="S5" s="30"/>
      <c r="U5" s="27" t="s">
        <v>29</v>
      </c>
      <c r="V5" s="27" t="s">
        <v>828</v>
      </c>
      <c r="W5" s="27">
        <v>0</v>
      </c>
      <c r="X5" s="30"/>
    </row>
    <row r="6" spans="1:24" x14ac:dyDescent="0.25">
      <c r="A6" s="27" t="s">
        <v>30</v>
      </c>
      <c r="C6" s="27">
        <v>20</v>
      </c>
      <c r="D6" s="30">
        <v>6.8403521294313596E-2</v>
      </c>
      <c r="F6" s="27" t="s">
        <v>30</v>
      </c>
      <c r="H6" s="27">
        <v>0</v>
      </c>
      <c r="I6" s="30"/>
      <c r="K6" s="27" t="s">
        <v>30</v>
      </c>
      <c r="M6" s="27">
        <v>0</v>
      </c>
      <c r="N6" s="30"/>
      <c r="P6" s="27" t="s">
        <v>30</v>
      </c>
      <c r="R6" s="27">
        <v>0</v>
      </c>
      <c r="S6" s="30">
        <v>0</v>
      </c>
      <c r="U6" s="27" t="s">
        <v>30</v>
      </c>
      <c r="W6" s="27">
        <v>0</v>
      </c>
      <c r="X6" s="30"/>
    </row>
    <row r="7" spans="1:24" x14ac:dyDescent="0.25">
      <c r="A7" s="27" t="s">
        <v>30</v>
      </c>
      <c r="B7" s="27" t="s">
        <v>828</v>
      </c>
      <c r="C7" s="27">
        <v>20</v>
      </c>
      <c r="D7" s="30">
        <v>1</v>
      </c>
      <c r="F7" s="27" t="s">
        <v>30</v>
      </c>
      <c r="G7" s="27" t="s">
        <v>828</v>
      </c>
      <c r="H7" s="27">
        <v>0</v>
      </c>
      <c r="I7" s="30"/>
      <c r="K7" s="27" t="s">
        <v>30</v>
      </c>
      <c r="L7" s="27" t="s">
        <v>828</v>
      </c>
      <c r="M7" s="27">
        <v>0</v>
      </c>
      <c r="N7" s="30"/>
      <c r="P7" s="27" t="s">
        <v>30</v>
      </c>
      <c r="Q7" s="27" t="s">
        <v>828</v>
      </c>
      <c r="R7" s="27">
        <v>0</v>
      </c>
      <c r="S7" s="30"/>
      <c r="U7" s="27" t="s">
        <v>30</v>
      </c>
      <c r="V7" s="27" t="s">
        <v>828</v>
      </c>
      <c r="W7" s="27">
        <v>0</v>
      </c>
      <c r="X7" s="30"/>
    </row>
    <row r="8" spans="1:24" x14ac:dyDescent="0.25">
      <c r="A8" s="27" t="s">
        <v>29</v>
      </c>
      <c r="C8" s="27">
        <v>10.028985507246377</v>
      </c>
      <c r="D8" s="30">
        <v>3.4300896185264496E-2</v>
      </c>
      <c r="F8" s="27" t="s">
        <v>33</v>
      </c>
      <c r="H8" s="27">
        <v>0</v>
      </c>
      <c r="I8" s="30"/>
      <c r="K8" s="27" t="s">
        <v>33</v>
      </c>
      <c r="M8" s="27">
        <v>0</v>
      </c>
      <c r="N8" s="30"/>
      <c r="P8" s="27" t="s">
        <v>33</v>
      </c>
      <c r="R8" s="27">
        <v>0</v>
      </c>
      <c r="S8" s="30">
        <v>0</v>
      </c>
      <c r="U8" s="27" t="s">
        <v>33</v>
      </c>
      <c r="W8" s="27">
        <v>0</v>
      </c>
      <c r="X8" s="30"/>
    </row>
    <row r="9" spans="1:24" x14ac:dyDescent="0.25">
      <c r="A9" s="27" t="s">
        <v>29</v>
      </c>
      <c r="B9" s="27" t="s">
        <v>828</v>
      </c>
      <c r="C9" s="27">
        <v>10.028985507246377</v>
      </c>
      <c r="D9" s="30">
        <v>1</v>
      </c>
      <c r="F9" s="27" t="s">
        <v>33</v>
      </c>
      <c r="G9" s="27" t="s">
        <v>824</v>
      </c>
      <c r="H9" s="27">
        <v>0</v>
      </c>
      <c r="I9" s="30"/>
      <c r="K9" s="27" t="s">
        <v>33</v>
      </c>
      <c r="L9" s="27" t="s">
        <v>824</v>
      </c>
      <c r="M9" s="27">
        <v>0</v>
      </c>
      <c r="N9" s="30"/>
      <c r="P9" s="27" t="s">
        <v>33</v>
      </c>
      <c r="Q9" s="27" t="s">
        <v>824</v>
      </c>
      <c r="R9" s="27">
        <v>0</v>
      </c>
      <c r="S9" s="30"/>
      <c r="U9" s="27" t="s">
        <v>33</v>
      </c>
      <c r="V9" s="27" t="s">
        <v>824</v>
      </c>
      <c r="W9" s="27">
        <v>0</v>
      </c>
      <c r="X9" s="30"/>
    </row>
    <row r="10" spans="1:24" x14ac:dyDescent="0.25">
      <c r="A10" s="27" t="s">
        <v>33</v>
      </c>
      <c r="C10" s="27">
        <v>20</v>
      </c>
      <c r="D10" s="30">
        <v>6.8403521294313596E-2</v>
      </c>
      <c r="F10" s="27" t="s">
        <v>34</v>
      </c>
      <c r="H10" s="27">
        <v>0</v>
      </c>
      <c r="I10" s="30"/>
      <c r="K10" s="27" t="s">
        <v>34</v>
      </c>
      <c r="M10" s="27">
        <v>0</v>
      </c>
      <c r="N10" s="30"/>
      <c r="P10" s="27" t="s">
        <v>34</v>
      </c>
      <c r="R10" s="27">
        <v>0</v>
      </c>
      <c r="S10" s="30">
        <v>0</v>
      </c>
      <c r="U10" s="27" t="s">
        <v>34</v>
      </c>
      <c r="W10" s="27">
        <v>0</v>
      </c>
      <c r="X10" s="30"/>
    </row>
    <row r="11" spans="1:24" x14ac:dyDescent="0.25">
      <c r="A11" s="27" t="s">
        <v>33</v>
      </c>
      <c r="B11" s="27" t="s">
        <v>824</v>
      </c>
      <c r="C11" s="27">
        <v>20</v>
      </c>
      <c r="D11" s="30">
        <v>1</v>
      </c>
      <c r="F11" s="27" t="s">
        <v>34</v>
      </c>
      <c r="G11" s="27" t="s">
        <v>825</v>
      </c>
      <c r="H11" s="27">
        <v>0</v>
      </c>
      <c r="I11" s="30"/>
      <c r="K11" s="27" t="s">
        <v>34</v>
      </c>
      <c r="L11" s="27" t="s">
        <v>825</v>
      </c>
      <c r="M11" s="27">
        <v>0</v>
      </c>
      <c r="N11" s="30"/>
      <c r="P11" s="27" t="s">
        <v>34</v>
      </c>
      <c r="Q11" s="27" t="s">
        <v>825</v>
      </c>
      <c r="R11" s="27">
        <v>0</v>
      </c>
      <c r="S11" s="30"/>
      <c r="U11" s="27" t="s">
        <v>34</v>
      </c>
      <c r="V11" s="27" t="s">
        <v>825</v>
      </c>
      <c r="W11" s="27">
        <v>0</v>
      </c>
      <c r="X11" s="30"/>
    </row>
    <row r="12" spans="1:24" x14ac:dyDescent="0.25">
      <c r="A12" s="27" t="s">
        <v>34</v>
      </c>
      <c r="C12" s="27">
        <v>5.7971014492753623</v>
      </c>
      <c r="D12" s="30">
        <v>1.982710762154017E-2</v>
      </c>
      <c r="F12" s="27" t="s">
        <v>31</v>
      </c>
      <c r="H12" s="27">
        <v>0</v>
      </c>
      <c r="I12" s="30"/>
      <c r="K12" s="27" t="s">
        <v>31</v>
      </c>
      <c r="M12" s="27">
        <v>0</v>
      </c>
      <c r="N12" s="30"/>
      <c r="P12" s="27" t="s">
        <v>31</v>
      </c>
      <c r="R12" s="27">
        <v>1.2463768115942029</v>
      </c>
      <c r="S12" s="30">
        <v>8.3333333333333329E-2</v>
      </c>
      <c r="U12" s="27" t="s">
        <v>31</v>
      </c>
      <c r="W12" s="27">
        <v>0</v>
      </c>
      <c r="X12" s="30"/>
    </row>
    <row r="13" spans="1:24" x14ac:dyDescent="0.25">
      <c r="A13" s="27" t="s">
        <v>34</v>
      </c>
      <c r="B13" s="27" t="s">
        <v>825</v>
      </c>
      <c r="C13" s="27">
        <v>5.7971014492753623</v>
      </c>
      <c r="D13" s="30">
        <v>1</v>
      </c>
      <c r="F13" s="27" t="s">
        <v>31</v>
      </c>
      <c r="G13" s="27" t="s">
        <v>824</v>
      </c>
      <c r="H13" s="27">
        <v>0</v>
      </c>
      <c r="I13" s="30"/>
      <c r="K13" s="27" t="s">
        <v>31</v>
      </c>
      <c r="L13" s="27" t="s">
        <v>824</v>
      </c>
      <c r="M13" s="27">
        <v>0</v>
      </c>
      <c r="N13" s="30"/>
      <c r="P13" s="27" t="s">
        <v>31</v>
      </c>
      <c r="Q13" s="27" t="s">
        <v>824</v>
      </c>
      <c r="R13" s="27">
        <v>1.2463768115942029</v>
      </c>
      <c r="S13" s="30">
        <v>1</v>
      </c>
      <c r="U13" s="27" t="s">
        <v>31</v>
      </c>
      <c r="V13" s="27" t="s">
        <v>824</v>
      </c>
      <c r="W13" s="27">
        <v>0</v>
      </c>
      <c r="X13" s="30"/>
    </row>
    <row r="14" spans="1:24" x14ac:dyDescent="0.25">
      <c r="A14" s="27" t="s">
        <v>89</v>
      </c>
      <c r="C14" s="27">
        <v>40</v>
      </c>
      <c r="D14" s="30">
        <v>0.13680704258862719</v>
      </c>
      <c r="F14" s="27" t="s">
        <v>32</v>
      </c>
      <c r="H14" s="27">
        <v>0</v>
      </c>
      <c r="I14" s="30"/>
      <c r="K14" s="27" t="s">
        <v>32</v>
      </c>
      <c r="M14" s="27">
        <v>0</v>
      </c>
      <c r="N14" s="30"/>
      <c r="P14" s="27" t="s">
        <v>32</v>
      </c>
      <c r="R14" s="27">
        <v>7.4782608695652169</v>
      </c>
      <c r="S14" s="30">
        <v>0.49999999999999994</v>
      </c>
      <c r="U14" s="27" t="s">
        <v>32</v>
      </c>
      <c r="W14" s="27">
        <v>0</v>
      </c>
      <c r="X14" s="30"/>
    </row>
    <row r="15" spans="1:24" x14ac:dyDescent="0.25">
      <c r="A15" s="27" t="s">
        <v>89</v>
      </c>
      <c r="B15" s="27" t="s">
        <v>827</v>
      </c>
      <c r="C15" s="27">
        <v>12.463768115942029</v>
      </c>
      <c r="D15" s="30">
        <v>0.31159420289855072</v>
      </c>
      <c r="F15" s="27" t="s">
        <v>32</v>
      </c>
      <c r="G15" s="27" t="s">
        <v>824</v>
      </c>
      <c r="H15" s="27">
        <v>0</v>
      </c>
      <c r="I15" s="30"/>
      <c r="K15" s="27" t="s">
        <v>32</v>
      </c>
      <c r="L15" s="27" t="s">
        <v>824</v>
      </c>
      <c r="M15" s="27">
        <v>0</v>
      </c>
      <c r="N15" s="30"/>
      <c r="P15" s="27" t="s">
        <v>32</v>
      </c>
      <c r="Q15" s="27" t="s">
        <v>824</v>
      </c>
      <c r="R15" s="27">
        <v>3.7391304347826089</v>
      </c>
      <c r="S15" s="30">
        <v>0.50000000000000011</v>
      </c>
      <c r="U15" s="27" t="s">
        <v>32</v>
      </c>
      <c r="V15" s="27" t="s">
        <v>824</v>
      </c>
      <c r="W15" s="27">
        <v>0</v>
      </c>
      <c r="X15" s="30"/>
    </row>
    <row r="16" spans="1:24" x14ac:dyDescent="0.25">
      <c r="A16" s="27" t="s">
        <v>89</v>
      </c>
      <c r="B16" s="27" t="s">
        <v>829</v>
      </c>
      <c r="C16" s="27">
        <v>20</v>
      </c>
      <c r="D16" s="30">
        <v>0.5</v>
      </c>
      <c r="F16" s="27" t="s">
        <v>32</v>
      </c>
      <c r="G16" s="27" t="s">
        <v>825</v>
      </c>
      <c r="H16" s="27">
        <v>0</v>
      </c>
      <c r="I16" s="30"/>
      <c r="K16" s="27" t="s">
        <v>32</v>
      </c>
      <c r="L16" s="27" t="s">
        <v>825</v>
      </c>
      <c r="M16" s="27">
        <v>0</v>
      </c>
      <c r="N16" s="30"/>
      <c r="P16" s="27" t="s">
        <v>32</v>
      </c>
      <c r="Q16" s="27" t="s">
        <v>825</v>
      </c>
      <c r="R16" s="27">
        <v>0.62318840579710144</v>
      </c>
      <c r="S16" s="30">
        <v>8.3333333333333343E-2</v>
      </c>
      <c r="U16" s="27" t="s">
        <v>32</v>
      </c>
      <c r="V16" s="27" t="s">
        <v>825</v>
      </c>
      <c r="W16" s="27">
        <v>0</v>
      </c>
      <c r="X16" s="30"/>
    </row>
    <row r="17" spans="1:24" x14ac:dyDescent="0.25">
      <c r="A17" s="27" t="s">
        <v>89</v>
      </c>
      <c r="B17" s="27" t="s">
        <v>830</v>
      </c>
      <c r="C17" s="27">
        <v>7.5362318840579707</v>
      </c>
      <c r="D17" s="30">
        <v>0.18840579710144928</v>
      </c>
      <c r="F17" s="27" t="s">
        <v>32</v>
      </c>
      <c r="G17" s="27" t="s">
        <v>827</v>
      </c>
      <c r="H17" s="27">
        <v>0</v>
      </c>
      <c r="I17" s="30"/>
      <c r="K17" s="27" t="s">
        <v>32</v>
      </c>
      <c r="L17" s="27" t="s">
        <v>827</v>
      </c>
      <c r="M17" s="27">
        <v>0</v>
      </c>
      <c r="N17" s="30"/>
      <c r="P17" s="27" t="s">
        <v>32</v>
      </c>
      <c r="Q17" s="27" t="s">
        <v>827</v>
      </c>
      <c r="R17" s="27">
        <v>3.1159420289855073</v>
      </c>
      <c r="S17" s="30">
        <v>0.41666666666666669</v>
      </c>
      <c r="U17" s="27" t="s">
        <v>32</v>
      </c>
      <c r="V17" s="27" t="s">
        <v>827</v>
      </c>
      <c r="W17" s="27">
        <v>0</v>
      </c>
      <c r="X17" s="30"/>
    </row>
    <row r="18" spans="1:24" x14ac:dyDescent="0.25">
      <c r="A18" s="27" t="s">
        <v>95</v>
      </c>
      <c r="C18" s="27">
        <v>40</v>
      </c>
      <c r="D18" s="30">
        <v>0.13680704258862719</v>
      </c>
      <c r="F18" s="27" t="s">
        <v>40</v>
      </c>
      <c r="H18" s="27">
        <v>0</v>
      </c>
      <c r="I18" s="30"/>
      <c r="K18" s="27" t="s">
        <v>40</v>
      </c>
      <c r="M18" s="27">
        <v>0</v>
      </c>
      <c r="N18" s="30"/>
      <c r="P18" s="27" t="s">
        <v>40</v>
      </c>
      <c r="R18" s="27">
        <v>1.8695652173913042</v>
      </c>
      <c r="S18" s="30">
        <v>0.12499999999999999</v>
      </c>
      <c r="U18" s="27" t="s">
        <v>40</v>
      </c>
      <c r="W18" s="27">
        <v>0</v>
      </c>
      <c r="X18" s="30"/>
    </row>
    <row r="19" spans="1:24" x14ac:dyDescent="0.25">
      <c r="A19" s="27" t="s">
        <v>95</v>
      </c>
      <c r="B19" s="27" t="s">
        <v>827</v>
      </c>
      <c r="C19" s="27">
        <v>12.463768115942029</v>
      </c>
      <c r="D19" s="30">
        <v>0.31159420289855072</v>
      </c>
      <c r="F19" s="27" t="s">
        <v>40</v>
      </c>
      <c r="G19" s="27" t="s">
        <v>827</v>
      </c>
      <c r="H19" s="27">
        <v>0</v>
      </c>
      <c r="I19" s="30"/>
      <c r="K19" s="27" t="s">
        <v>40</v>
      </c>
      <c r="L19" s="27" t="s">
        <v>827</v>
      </c>
      <c r="M19" s="27">
        <v>0</v>
      </c>
      <c r="N19" s="30"/>
      <c r="P19" s="27" t="s">
        <v>40</v>
      </c>
      <c r="Q19" s="27" t="s">
        <v>827</v>
      </c>
      <c r="R19" s="27">
        <v>1.2463768115942029</v>
      </c>
      <c r="S19" s="30">
        <v>0.66666666666666674</v>
      </c>
      <c r="U19" s="27" t="s">
        <v>40</v>
      </c>
      <c r="V19" s="27" t="s">
        <v>827</v>
      </c>
      <c r="W19" s="27">
        <v>0</v>
      </c>
      <c r="X19" s="30"/>
    </row>
    <row r="20" spans="1:24" x14ac:dyDescent="0.25">
      <c r="A20" s="27" t="s">
        <v>95</v>
      </c>
      <c r="B20" s="27" t="s">
        <v>826</v>
      </c>
      <c r="C20" s="27">
        <v>20</v>
      </c>
      <c r="D20" s="30">
        <v>0.5</v>
      </c>
      <c r="F20" s="27" t="s">
        <v>40</v>
      </c>
      <c r="G20" s="27" t="s">
        <v>826</v>
      </c>
      <c r="H20" s="27">
        <v>0</v>
      </c>
      <c r="I20" s="30"/>
      <c r="K20" s="27" t="s">
        <v>40</v>
      </c>
      <c r="L20" s="27" t="s">
        <v>826</v>
      </c>
      <c r="M20" s="27">
        <v>0</v>
      </c>
      <c r="N20" s="30"/>
      <c r="P20" s="27" t="s">
        <v>40</v>
      </c>
      <c r="Q20" s="27" t="s">
        <v>826</v>
      </c>
      <c r="R20" s="27">
        <v>0.62318840579710144</v>
      </c>
      <c r="S20" s="30">
        <v>0.33333333333333337</v>
      </c>
      <c r="U20" s="27" t="s">
        <v>40</v>
      </c>
      <c r="V20" s="27" t="s">
        <v>826</v>
      </c>
      <c r="W20" s="27">
        <v>0</v>
      </c>
      <c r="X20" s="30"/>
    </row>
    <row r="21" spans="1:24" x14ac:dyDescent="0.25">
      <c r="A21" s="27" t="s">
        <v>95</v>
      </c>
      <c r="B21" s="27" t="s">
        <v>831</v>
      </c>
      <c r="C21" s="27">
        <v>7.5362318840579707</v>
      </c>
      <c r="D21" s="30">
        <v>0.18840579710144928</v>
      </c>
      <c r="F21" s="27" t="s">
        <v>89</v>
      </c>
      <c r="H21" s="27">
        <v>0</v>
      </c>
      <c r="I21" s="30"/>
      <c r="K21" s="27" t="s">
        <v>89</v>
      </c>
      <c r="M21" s="27">
        <v>0</v>
      </c>
      <c r="N21" s="30"/>
      <c r="P21" s="27" t="s">
        <v>89</v>
      </c>
      <c r="R21" s="27">
        <v>0</v>
      </c>
      <c r="S21" s="30">
        <v>0</v>
      </c>
      <c r="U21" s="27" t="s">
        <v>89</v>
      </c>
      <c r="W21" s="27">
        <v>0</v>
      </c>
      <c r="X21" s="30"/>
    </row>
    <row r="22" spans="1:24" x14ac:dyDescent="0.25">
      <c r="A22" s="27" t="s">
        <v>107</v>
      </c>
      <c r="C22" s="27">
        <v>40</v>
      </c>
      <c r="D22" s="30">
        <v>0.13680704258862719</v>
      </c>
      <c r="F22" s="27" t="s">
        <v>89</v>
      </c>
      <c r="G22" s="27" t="s">
        <v>827</v>
      </c>
      <c r="H22" s="27">
        <v>0</v>
      </c>
      <c r="I22" s="30"/>
      <c r="K22" s="27" t="s">
        <v>89</v>
      </c>
      <c r="L22" s="27" t="s">
        <v>827</v>
      </c>
      <c r="M22" s="27">
        <v>0</v>
      </c>
      <c r="N22" s="30"/>
      <c r="P22" s="27" t="s">
        <v>89</v>
      </c>
      <c r="Q22" s="27" t="s">
        <v>827</v>
      </c>
      <c r="R22" s="27">
        <v>0</v>
      </c>
      <c r="S22" s="30"/>
      <c r="U22" s="27" t="s">
        <v>89</v>
      </c>
      <c r="V22" s="27" t="s">
        <v>827</v>
      </c>
      <c r="W22" s="27">
        <v>0</v>
      </c>
      <c r="X22" s="30"/>
    </row>
    <row r="23" spans="1:24" x14ac:dyDescent="0.25">
      <c r="A23" s="27" t="s">
        <v>107</v>
      </c>
      <c r="B23" s="27" t="s">
        <v>826</v>
      </c>
      <c r="C23" s="27">
        <v>32.463768115942031</v>
      </c>
      <c r="D23" s="30">
        <v>0.81159420289855078</v>
      </c>
      <c r="F23" s="27" t="s">
        <v>89</v>
      </c>
      <c r="G23" s="27" t="s">
        <v>829</v>
      </c>
      <c r="H23" s="27">
        <v>0</v>
      </c>
      <c r="I23" s="30"/>
      <c r="K23" s="27" t="s">
        <v>89</v>
      </c>
      <c r="L23" s="27" t="s">
        <v>829</v>
      </c>
      <c r="M23" s="27">
        <v>0</v>
      </c>
      <c r="N23" s="30"/>
      <c r="P23" s="27" t="s">
        <v>89</v>
      </c>
      <c r="Q23" s="27" t="s">
        <v>829</v>
      </c>
      <c r="R23" s="27">
        <v>0</v>
      </c>
      <c r="S23" s="30"/>
      <c r="U23" s="27" t="s">
        <v>89</v>
      </c>
      <c r="V23" s="27" t="s">
        <v>829</v>
      </c>
      <c r="W23" s="27">
        <v>0</v>
      </c>
      <c r="X23" s="30"/>
    </row>
    <row r="24" spans="1:24" x14ac:dyDescent="0.25">
      <c r="A24" s="27" t="s">
        <v>107</v>
      </c>
      <c r="B24" s="27" t="s">
        <v>832</v>
      </c>
      <c r="C24" s="27">
        <v>7.5362318840579707</v>
      </c>
      <c r="D24" s="30">
        <v>0.18840579710144928</v>
      </c>
      <c r="F24" s="27" t="s">
        <v>89</v>
      </c>
      <c r="G24" s="27" t="s">
        <v>830</v>
      </c>
      <c r="H24" s="27">
        <v>0</v>
      </c>
      <c r="I24" s="30"/>
      <c r="K24" s="27" t="s">
        <v>89</v>
      </c>
      <c r="L24" s="27" t="s">
        <v>830</v>
      </c>
      <c r="M24" s="27">
        <v>0</v>
      </c>
      <c r="N24" s="30"/>
      <c r="P24" s="27" t="s">
        <v>89</v>
      </c>
      <c r="Q24" s="27" t="s">
        <v>830</v>
      </c>
      <c r="R24" s="27">
        <v>0</v>
      </c>
      <c r="S24" s="30"/>
      <c r="U24" s="27" t="s">
        <v>89</v>
      </c>
      <c r="V24" s="27" t="s">
        <v>830</v>
      </c>
      <c r="W24" s="27">
        <v>0</v>
      </c>
      <c r="X24" s="30"/>
    </row>
    <row r="25" spans="1:24" x14ac:dyDescent="0.25">
      <c r="A25" s="27" t="s">
        <v>128</v>
      </c>
      <c r="C25" s="27">
        <v>5.6000000000000005</v>
      </c>
      <c r="D25" s="30">
        <v>1.9152985962407807E-2</v>
      </c>
      <c r="F25" s="27" t="s">
        <v>95</v>
      </c>
      <c r="H25" s="27">
        <v>0</v>
      </c>
      <c r="I25" s="30"/>
      <c r="K25" s="27" t="s">
        <v>95</v>
      </c>
      <c r="M25" s="27">
        <v>0</v>
      </c>
      <c r="N25" s="30"/>
      <c r="P25" s="27" t="s">
        <v>95</v>
      </c>
      <c r="R25" s="27">
        <v>0</v>
      </c>
      <c r="S25" s="30">
        <v>0</v>
      </c>
      <c r="U25" s="27" t="s">
        <v>95</v>
      </c>
      <c r="W25" s="27">
        <v>0</v>
      </c>
      <c r="X25" s="30"/>
    </row>
    <row r="26" spans="1:24" x14ac:dyDescent="0.25">
      <c r="A26" s="27" t="s">
        <v>128</v>
      </c>
      <c r="B26" s="27" t="s">
        <v>826</v>
      </c>
      <c r="C26" s="27">
        <v>0.8</v>
      </c>
      <c r="D26" s="30">
        <v>0.14285714285714285</v>
      </c>
      <c r="F26" s="27" t="s">
        <v>95</v>
      </c>
      <c r="G26" s="27" t="s">
        <v>827</v>
      </c>
      <c r="H26" s="27">
        <v>0</v>
      </c>
      <c r="I26" s="30"/>
      <c r="K26" s="27" t="s">
        <v>95</v>
      </c>
      <c r="L26" s="27" t="s">
        <v>827</v>
      </c>
      <c r="M26" s="27">
        <v>0</v>
      </c>
      <c r="N26" s="30"/>
      <c r="P26" s="27" t="s">
        <v>95</v>
      </c>
      <c r="Q26" s="27" t="s">
        <v>827</v>
      </c>
      <c r="R26" s="27">
        <v>0</v>
      </c>
      <c r="S26" s="30"/>
      <c r="U26" s="27" t="s">
        <v>95</v>
      </c>
      <c r="V26" s="27" t="s">
        <v>827</v>
      </c>
      <c r="W26" s="27">
        <v>0</v>
      </c>
      <c r="X26" s="30"/>
    </row>
    <row r="27" spans="1:24" x14ac:dyDescent="0.25">
      <c r="A27" s="27" t="s">
        <v>128</v>
      </c>
      <c r="B27" s="27" t="s">
        <v>833</v>
      </c>
      <c r="C27" s="27">
        <v>1.6</v>
      </c>
      <c r="D27" s="30">
        <v>0.2857142857142857</v>
      </c>
      <c r="F27" s="27" t="s">
        <v>95</v>
      </c>
      <c r="G27" s="27" t="s">
        <v>826</v>
      </c>
      <c r="H27" s="27">
        <v>0</v>
      </c>
      <c r="I27" s="30"/>
      <c r="K27" s="27" t="s">
        <v>95</v>
      </c>
      <c r="L27" s="27" t="s">
        <v>826</v>
      </c>
      <c r="M27" s="27">
        <v>0</v>
      </c>
      <c r="N27" s="30"/>
      <c r="P27" s="27" t="s">
        <v>95</v>
      </c>
      <c r="Q27" s="27" t="s">
        <v>826</v>
      </c>
      <c r="R27" s="27">
        <v>0</v>
      </c>
      <c r="S27" s="30"/>
      <c r="U27" s="27" t="s">
        <v>95</v>
      </c>
      <c r="V27" s="27" t="s">
        <v>826</v>
      </c>
      <c r="W27" s="27">
        <v>0</v>
      </c>
      <c r="X27" s="30"/>
    </row>
    <row r="28" spans="1:24" x14ac:dyDescent="0.25">
      <c r="A28" s="27" t="s">
        <v>128</v>
      </c>
      <c r="B28" s="27" t="s">
        <v>834</v>
      </c>
      <c r="C28" s="27">
        <v>3.2</v>
      </c>
      <c r="D28" s="30">
        <v>0.5714285714285714</v>
      </c>
      <c r="F28" s="27" t="s">
        <v>95</v>
      </c>
      <c r="G28" s="27" t="s">
        <v>831</v>
      </c>
      <c r="H28" s="27">
        <v>0</v>
      </c>
      <c r="I28" s="30"/>
      <c r="K28" s="27" t="s">
        <v>95</v>
      </c>
      <c r="L28" s="27" t="s">
        <v>831</v>
      </c>
      <c r="M28" s="27">
        <v>0</v>
      </c>
      <c r="N28" s="30"/>
      <c r="P28" s="27" t="s">
        <v>95</v>
      </c>
      <c r="Q28" s="27" t="s">
        <v>831</v>
      </c>
      <c r="R28" s="27">
        <v>0</v>
      </c>
      <c r="S28" s="30"/>
      <c r="U28" s="27" t="s">
        <v>95</v>
      </c>
      <c r="V28" s="27" t="s">
        <v>831</v>
      </c>
      <c r="W28" s="27">
        <v>0</v>
      </c>
      <c r="X28" s="30"/>
    </row>
    <row r="29" spans="1:24" x14ac:dyDescent="0.25">
      <c r="A29" s="27" t="s">
        <v>169</v>
      </c>
      <c r="C29" s="27">
        <v>16</v>
      </c>
      <c r="D29" s="30">
        <v>5.4722817035450871E-2</v>
      </c>
      <c r="F29" s="27" t="s">
        <v>107</v>
      </c>
      <c r="H29" s="27">
        <v>0</v>
      </c>
      <c r="I29" s="30"/>
      <c r="K29" s="27" t="s">
        <v>107</v>
      </c>
      <c r="M29" s="27">
        <v>0</v>
      </c>
      <c r="N29" s="30"/>
      <c r="P29" s="27" t="s">
        <v>107</v>
      </c>
      <c r="R29" s="27">
        <v>0</v>
      </c>
      <c r="S29" s="30">
        <v>0</v>
      </c>
      <c r="U29" s="27" t="s">
        <v>107</v>
      </c>
      <c r="W29" s="27">
        <v>0</v>
      </c>
      <c r="X29" s="30"/>
    </row>
    <row r="30" spans="1:24" x14ac:dyDescent="0.25">
      <c r="A30" s="27" t="s">
        <v>169</v>
      </c>
      <c r="B30" s="27" t="s">
        <v>831</v>
      </c>
      <c r="C30" s="27">
        <v>14.4</v>
      </c>
      <c r="D30" s="30">
        <v>0.9</v>
      </c>
      <c r="F30" s="27" t="s">
        <v>107</v>
      </c>
      <c r="G30" s="27" t="s">
        <v>826</v>
      </c>
      <c r="H30" s="27">
        <v>0</v>
      </c>
      <c r="I30" s="30"/>
      <c r="K30" s="27" t="s">
        <v>107</v>
      </c>
      <c r="L30" s="27" t="s">
        <v>826</v>
      </c>
      <c r="M30" s="27">
        <v>0</v>
      </c>
      <c r="N30" s="30"/>
      <c r="P30" s="27" t="s">
        <v>107</v>
      </c>
      <c r="Q30" s="27" t="s">
        <v>826</v>
      </c>
      <c r="R30" s="27">
        <v>0</v>
      </c>
      <c r="S30" s="30"/>
      <c r="U30" s="27" t="s">
        <v>107</v>
      </c>
      <c r="V30" s="27" t="s">
        <v>826</v>
      </c>
      <c r="W30" s="27">
        <v>0</v>
      </c>
      <c r="X30" s="30"/>
    </row>
    <row r="31" spans="1:24" x14ac:dyDescent="0.25">
      <c r="A31" s="27" t="s">
        <v>169</v>
      </c>
      <c r="B31" s="27" t="s">
        <v>835</v>
      </c>
      <c r="C31" s="27">
        <v>1.6</v>
      </c>
      <c r="D31" s="30">
        <v>0.1</v>
      </c>
      <c r="F31" s="27" t="s">
        <v>107</v>
      </c>
      <c r="G31" s="27" t="s">
        <v>832</v>
      </c>
      <c r="H31" s="27">
        <v>0</v>
      </c>
      <c r="I31" s="30"/>
      <c r="K31" s="27" t="s">
        <v>107</v>
      </c>
      <c r="L31" s="27" t="s">
        <v>832</v>
      </c>
      <c r="M31" s="27">
        <v>0</v>
      </c>
      <c r="N31" s="30"/>
      <c r="P31" s="27" t="s">
        <v>107</v>
      </c>
      <c r="Q31" s="27" t="s">
        <v>832</v>
      </c>
      <c r="R31" s="27">
        <v>0</v>
      </c>
      <c r="S31" s="30"/>
      <c r="U31" s="27" t="s">
        <v>107</v>
      </c>
      <c r="V31" s="27" t="s">
        <v>832</v>
      </c>
      <c r="W31" s="27">
        <v>0</v>
      </c>
      <c r="X31" s="30"/>
    </row>
    <row r="32" spans="1:24" x14ac:dyDescent="0.25">
      <c r="A32" s="27" t="s">
        <v>153</v>
      </c>
      <c r="C32" s="27">
        <v>16</v>
      </c>
      <c r="D32" s="30">
        <v>5.4722817035450871E-2</v>
      </c>
      <c r="F32" s="27" t="s">
        <v>105</v>
      </c>
      <c r="H32" s="27">
        <v>0</v>
      </c>
      <c r="I32" s="30"/>
      <c r="K32" s="27" t="s">
        <v>105</v>
      </c>
      <c r="M32" s="27">
        <v>0</v>
      </c>
      <c r="N32" s="30"/>
      <c r="P32" s="27" t="s">
        <v>105</v>
      </c>
      <c r="R32" s="27">
        <v>4.36231884057971</v>
      </c>
      <c r="S32" s="30">
        <v>0.29166666666666663</v>
      </c>
      <c r="U32" s="27" t="s">
        <v>105</v>
      </c>
      <c r="W32" s="27">
        <v>0</v>
      </c>
      <c r="X32" s="30"/>
    </row>
    <row r="33" spans="1:24" x14ac:dyDescent="0.25">
      <c r="A33" s="27" t="s">
        <v>153</v>
      </c>
      <c r="B33" s="27" t="s">
        <v>836</v>
      </c>
      <c r="C33" s="27">
        <v>14.4</v>
      </c>
      <c r="D33" s="30">
        <v>0.9</v>
      </c>
      <c r="F33" s="27" t="s">
        <v>105</v>
      </c>
      <c r="G33" s="27" t="s">
        <v>826</v>
      </c>
      <c r="H33" s="27">
        <v>0</v>
      </c>
      <c r="I33" s="30"/>
      <c r="K33" s="27" t="s">
        <v>105</v>
      </c>
      <c r="L33" s="27" t="s">
        <v>826</v>
      </c>
      <c r="M33" s="27">
        <v>0</v>
      </c>
      <c r="N33" s="30"/>
      <c r="P33" s="27" t="s">
        <v>105</v>
      </c>
      <c r="Q33" s="27" t="s">
        <v>826</v>
      </c>
      <c r="R33" s="27">
        <v>0.62318840579710144</v>
      </c>
      <c r="S33" s="30">
        <v>0.14285714285714285</v>
      </c>
      <c r="U33" s="27" t="s">
        <v>105</v>
      </c>
      <c r="V33" s="27" t="s">
        <v>826</v>
      </c>
      <c r="W33" s="27">
        <v>0</v>
      </c>
      <c r="X33" s="30"/>
    </row>
    <row r="34" spans="1:24" x14ac:dyDescent="0.25">
      <c r="A34" s="27" t="s">
        <v>153</v>
      </c>
      <c r="B34" s="27" t="s">
        <v>837</v>
      </c>
      <c r="C34" s="27">
        <v>1.6</v>
      </c>
      <c r="D34" s="30">
        <v>0.1</v>
      </c>
      <c r="F34" s="27" t="s">
        <v>105</v>
      </c>
      <c r="G34" s="27" t="s">
        <v>832</v>
      </c>
      <c r="H34" s="27">
        <v>0</v>
      </c>
      <c r="I34" s="30"/>
      <c r="K34" s="27" t="s">
        <v>105</v>
      </c>
      <c r="L34" s="27" t="s">
        <v>832</v>
      </c>
      <c r="M34" s="27">
        <v>0</v>
      </c>
      <c r="N34" s="30"/>
      <c r="P34" s="27" t="s">
        <v>105</v>
      </c>
      <c r="Q34" s="27" t="s">
        <v>832</v>
      </c>
      <c r="R34" s="27">
        <v>2.4927536231884058</v>
      </c>
      <c r="S34" s="30">
        <v>0.5714285714285714</v>
      </c>
      <c r="U34" s="27" t="s">
        <v>105</v>
      </c>
      <c r="V34" s="27" t="s">
        <v>832</v>
      </c>
      <c r="W34" s="27">
        <v>0</v>
      </c>
      <c r="X34" s="30"/>
    </row>
    <row r="35" spans="1:24" x14ac:dyDescent="0.25">
      <c r="A35" s="27" t="s">
        <v>176</v>
      </c>
      <c r="C35" s="27">
        <v>16</v>
      </c>
      <c r="D35" s="30">
        <v>5.4722817035450871E-2</v>
      </c>
      <c r="F35" s="27" t="s">
        <v>105</v>
      </c>
      <c r="G35" s="27" t="s">
        <v>834</v>
      </c>
      <c r="H35" s="27">
        <v>0</v>
      </c>
      <c r="I35" s="30"/>
      <c r="K35" s="27" t="s">
        <v>105</v>
      </c>
      <c r="L35" s="27" t="s">
        <v>834</v>
      </c>
      <c r="M35" s="27">
        <v>0</v>
      </c>
      <c r="N35" s="30"/>
      <c r="P35" s="27" t="s">
        <v>105</v>
      </c>
      <c r="Q35" s="27" t="s">
        <v>834</v>
      </c>
      <c r="R35" s="27">
        <v>1.2463768115942029</v>
      </c>
      <c r="S35" s="30">
        <v>0.2857142857142857</v>
      </c>
      <c r="U35" s="27" t="s">
        <v>105</v>
      </c>
      <c r="V35" s="27" t="s">
        <v>834</v>
      </c>
      <c r="W35" s="27">
        <v>0</v>
      </c>
      <c r="X35" s="30"/>
    </row>
    <row r="36" spans="1:24" x14ac:dyDescent="0.25">
      <c r="A36" s="27" t="s">
        <v>176</v>
      </c>
      <c r="B36" s="27" t="s">
        <v>838</v>
      </c>
      <c r="C36" s="27">
        <v>16</v>
      </c>
      <c r="D36" s="30">
        <v>1</v>
      </c>
      <c r="F36" s="27" t="s">
        <v>128</v>
      </c>
      <c r="H36" s="27">
        <v>0</v>
      </c>
      <c r="I36" s="30"/>
      <c r="K36" s="27" t="s">
        <v>128</v>
      </c>
      <c r="M36" s="27">
        <v>0</v>
      </c>
      <c r="N36" s="30"/>
      <c r="P36" s="27" t="s">
        <v>128</v>
      </c>
      <c r="R36" s="27">
        <v>0</v>
      </c>
      <c r="S36" s="30">
        <v>0</v>
      </c>
      <c r="U36" s="27" t="s">
        <v>128</v>
      </c>
      <c r="W36" s="27">
        <v>0</v>
      </c>
      <c r="X36" s="30"/>
    </row>
    <row r="37" spans="1:24" x14ac:dyDescent="0.25">
      <c r="A37" s="27" t="s">
        <v>172</v>
      </c>
      <c r="C37" s="27">
        <v>16</v>
      </c>
      <c r="D37" s="30">
        <v>5.4722817035450871E-2</v>
      </c>
      <c r="F37" s="27" t="s">
        <v>128</v>
      </c>
      <c r="G37" s="27" t="s">
        <v>826</v>
      </c>
      <c r="H37" s="27">
        <v>0</v>
      </c>
      <c r="I37" s="30"/>
      <c r="K37" s="27" t="s">
        <v>128</v>
      </c>
      <c r="L37" s="27" t="s">
        <v>826</v>
      </c>
      <c r="M37" s="27">
        <v>0</v>
      </c>
      <c r="N37" s="30"/>
      <c r="P37" s="27" t="s">
        <v>128</v>
      </c>
      <c r="Q37" s="27" t="s">
        <v>826</v>
      </c>
      <c r="R37" s="27">
        <v>0</v>
      </c>
      <c r="S37" s="30"/>
      <c r="U37" s="27" t="s">
        <v>128</v>
      </c>
      <c r="V37" s="27" t="s">
        <v>826</v>
      </c>
      <c r="W37" s="27">
        <v>0</v>
      </c>
      <c r="X37" s="30"/>
    </row>
    <row r="38" spans="1:24" x14ac:dyDescent="0.25">
      <c r="A38" s="27" t="s">
        <v>172</v>
      </c>
      <c r="B38" s="27" t="s">
        <v>836</v>
      </c>
      <c r="C38" s="27">
        <v>16</v>
      </c>
      <c r="D38" s="30">
        <v>1</v>
      </c>
      <c r="F38" s="27" t="s">
        <v>128</v>
      </c>
      <c r="G38" s="27" t="s">
        <v>833</v>
      </c>
      <c r="H38" s="27">
        <v>0</v>
      </c>
      <c r="I38" s="30"/>
      <c r="K38" s="27" t="s">
        <v>128</v>
      </c>
      <c r="L38" s="27" t="s">
        <v>833</v>
      </c>
      <c r="M38" s="27">
        <v>0</v>
      </c>
      <c r="N38" s="30"/>
      <c r="P38" s="27" t="s">
        <v>128</v>
      </c>
      <c r="Q38" s="27" t="s">
        <v>833</v>
      </c>
      <c r="R38" s="27">
        <v>0</v>
      </c>
      <c r="S38" s="30"/>
      <c r="U38" s="27" t="s">
        <v>128</v>
      </c>
      <c r="V38" s="27" t="s">
        <v>833</v>
      </c>
      <c r="W38" s="27">
        <v>0</v>
      </c>
      <c r="X38" s="30"/>
    </row>
    <row r="39" spans="1:24" x14ac:dyDescent="0.25">
      <c r="A39" s="27" t="s">
        <v>174</v>
      </c>
      <c r="C39" s="27">
        <v>0</v>
      </c>
      <c r="D39" s="30">
        <v>0</v>
      </c>
      <c r="F39" s="27" t="s">
        <v>128</v>
      </c>
      <c r="G39" s="27" t="s">
        <v>834</v>
      </c>
      <c r="H39" s="27">
        <v>0</v>
      </c>
      <c r="I39" s="30"/>
      <c r="K39" s="27" t="s">
        <v>128</v>
      </c>
      <c r="L39" s="27" t="s">
        <v>834</v>
      </c>
      <c r="M39" s="27">
        <v>0</v>
      </c>
      <c r="N39" s="30"/>
      <c r="P39" s="27" t="s">
        <v>128</v>
      </c>
      <c r="Q39" s="27" t="s">
        <v>834</v>
      </c>
      <c r="R39" s="27">
        <v>0</v>
      </c>
      <c r="S39" s="30"/>
      <c r="U39" s="27" t="s">
        <v>128</v>
      </c>
      <c r="V39" s="27" t="s">
        <v>834</v>
      </c>
      <c r="W39" s="27">
        <v>0</v>
      </c>
      <c r="X39" s="30"/>
    </row>
    <row r="40" spans="1:24" x14ac:dyDescent="0.25">
      <c r="A40" s="27" t="s">
        <v>174</v>
      </c>
      <c r="B40" s="27" t="s">
        <v>837</v>
      </c>
      <c r="C40" s="27">
        <v>0</v>
      </c>
      <c r="F40" s="27" t="s">
        <v>169</v>
      </c>
      <c r="H40" s="27">
        <v>0</v>
      </c>
      <c r="I40" s="30"/>
      <c r="K40" s="27" t="s">
        <v>169</v>
      </c>
      <c r="M40" s="27">
        <v>0</v>
      </c>
      <c r="N40" s="30"/>
      <c r="P40" s="27" t="s">
        <v>169</v>
      </c>
      <c r="R40" s="27">
        <v>0</v>
      </c>
      <c r="S40" s="30">
        <v>0</v>
      </c>
      <c r="U40" s="27" t="s">
        <v>169</v>
      </c>
      <c r="W40" s="27">
        <v>0</v>
      </c>
      <c r="X40" s="30"/>
    </row>
    <row r="41" spans="1:24" x14ac:dyDescent="0.25">
      <c r="A41" s="27" t="s">
        <v>47</v>
      </c>
      <c r="C41" s="27">
        <v>16</v>
      </c>
      <c r="D41" s="30">
        <v>5.4722817035450871E-2</v>
      </c>
      <c r="F41" s="27" t="s">
        <v>169</v>
      </c>
      <c r="G41" s="27" t="s">
        <v>831</v>
      </c>
      <c r="H41" s="27">
        <v>0</v>
      </c>
      <c r="I41" s="30"/>
      <c r="K41" s="27" t="s">
        <v>169</v>
      </c>
      <c r="L41" s="27" t="s">
        <v>831</v>
      </c>
      <c r="M41" s="27">
        <v>0</v>
      </c>
      <c r="N41" s="30"/>
      <c r="P41" s="27" t="s">
        <v>169</v>
      </c>
      <c r="Q41" s="27" t="s">
        <v>831</v>
      </c>
      <c r="R41" s="27">
        <v>0</v>
      </c>
      <c r="S41" s="30"/>
      <c r="U41" s="27" t="s">
        <v>169</v>
      </c>
      <c r="V41" s="27" t="s">
        <v>831</v>
      </c>
      <c r="W41" s="27">
        <v>0</v>
      </c>
      <c r="X41" s="30"/>
    </row>
    <row r="42" spans="1:24" x14ac:dyDescent="0.25">
      <c r="A42" s="27" t="s">
        <v>47</v>
      </c>
      <c r="B42" s="27" t="s">
        <v>834</v>
      </c>
      <c r="C42" s="27">
        <v>8.8115942028985508</v>
      </c>
      <c r="D42" s="30">
        <v>0.55072463768115942</v>
      </c>
      <c r="F42" s="27" t="s">
        <v>169</v>
      </c>
      <c r="G42" s="27" t="s">
        <v>835</v>
      </c>
      <c r="H42" s="27">
        <v>0</v>
      </c>
      <c r="I42" s="30"/>
      <c r="K42" s="27" t="s">
        <v>169</v>
      </c>
      <c r="L42" s="27" t="s">
        <v>835</v>
      </c>
      <c r="M42" s="27">
        <v>0</v>
      </c>
      <c r="N42" s="30"/>
      <c r="P42" s="27" t="s">
        <v>169</v>
      </c>
      <c r="Q42" s="27" t="s">
        <v>835</v>
      </c>
      <c r="R42" s="27">
        <v>0</v>
      </c>
      <c r="S42" s="30"/>
      <c r="U42" s="27" t="s">
        <v>169</v>
      </c>
      <c r="V42" s="27" t="s">
        <v>835</v>
      </c>
      <c r="W42" s="27">
        <v>0</v>
      </c>
      <c r="X42" s="30"/>
    </row>
    <row r="43" spans="1:24" x14ac:dyDescent="0.25">
      <c r="A43" s="27" t="s">
        <v>47</v>
      </c>
      <c r="B43" s="27" t="s">
        <v>839</v>
      </c>
      <c r="C43" s="27">
        <v>7.1884057971014492</v>
      </c>
      <c r="D43" s="30">
        <v>0.44927536231884058</v>
      </c>
      <c r="F43" s="27" t="s">
        <v>153</v>
      </c>
      <c r="H43" s="27">
        <v>0</v>
      </c>
      <c r="I43" s="30"/>
      <c r="K43" s="27" t="s">
        <v>153</v>
      </c>
      <c r="M43" s="27">
        <v>0</v>
      </c>
      <c r="N43" s="30"/>
      <c r="P43" s="27" t="s">
        <v>153</v>
      </c>
      <c r="R43" s="27">
        <v>0</v>
      </c>
      <c r="S43" s="30">
        <v>0</v>
      </c>
      <c r="U43" s="27" t="s">
        <v>153</v>
      </c>
      <c r="W43" s="27">
        <v>0</v>
      </c>
      <c r="X43" s="30"/>
    </row>
    <row r="44" spans="1:24" x14ac:dyDescent="0.25">
      <c r="A44" s="27" t="s">
        <v>170</v>
      </c>
      <c r="C44" s="27">
        <v>16</v>
      </c>
      <c r="D44" s="30">
        <v>5.4722817035450871E-2</v>
      </c>
      <c r="F44" s="27" t="s">
        <v>153</v>
      </c>
      <c r="G44" s="27" t="s">
        <v>836</v>
      </c>
      <c r="H44" s="27">
        <v>0</v>
      </c>
      <c r="I44" s="30"/>
      <c r="K44" s="27" t="s">
        <v>153</v>
      </c>
      <c r="L44" s="27" t="s">
        <v>836</v>
      </c>
      <c r="M44" s="27">
        <v>0</v>
      </c>
      <c r="N44" s="30"/>
      <c r="P44" s="27" t="s">
        <v>153</v>
      </c>
      <c r="Q44" s="27" t="s">
        <v>836</v>
      </c>
      <c r="R44" s="27">
        <v>0</v>
      </c>
      <c r="S44" s="30"/>
      <c r="U44" s="27" t="s">
        <v>153</v>
      </c>
      <c r="V44" s="27" t="s">
        <v>836</v>
      </c>
      <c r="W44" s="27">
        <v>0</v>
      </c>
      <c r="X44" s="30"/>
    </row>
    <row r="45" spans="1:24" x14ac:dyDescent="0.25">
      <c r="A45" s="27" t="s">
        <v>170</v>
      </c>
      <c r="B45" s="27" t="s">
        <v>833</v>
      </c>
      <c r="C45" s="27">
        <v>16</v>
      </c>
      <c r="D45" s="30">
        <v>1</v>
      </c>
      <c r="F45" s="27" t="s">
        <v>153</v>
      </c>
      <c r="G45" s="27" t="s">
        <v>837</v>
      </c>
      <c r="H45" s="27">
        <v>0</v>
      </c>
      <c r="I45" s="30"/>
      <c r="K45" s="27" t="s">
        <v>153</v>
      </c>
      <c r="L45" s="27" t="s">
        <v>837</v>
      </c>
      <c r="M45" s="27">
        <v>0</v>
      </c>
      <c r="N45" s="30"/>
      <c r="P45" s="27" t="s">
        <v>153</v>
      </c>
      <c r="Q45" s="27" t="s">
        <v>837</v>
      </c>
      <c r="R45" s="27">
        <v>0</v>
      </c>
      <c r="S45" s="30"/>
      <c r="U45" s="27" t="s">
        <v>153</v>
      </c>
      <c r="V45" s="27" t="s">
        <v>837</v>
      </c>
      <c r="W45" s="27">
        <v>0</v>
      </c>
      <c r="X45" s="30"/>
    </row>
    <row r="46" spans="1:24" x14ac:dyDescent="0.25">
      <c r="A46" s="27" t="s">
        <v>31</v>
      </c>
      <c r="C46" s="27">
        <v>1.2463768115942029</v>
      </c>
      <c r="D46" s="30">
        <v>4.2628281386311367E-3</v>
      </c>
      <c r="F46" s="27" t="s">
        <v>176</v>
      </c>
      <c r="H46" s="27">
        <v>0</v>
      </c>
      <c r="I46" s="30"/>
      <c r="K46" s="27" t="s">
        <v>176</v>
      </c>
      <c r="M46" s="27">
        <v>0</v>
      </c>
      <c r="N46" s="30"/>
      <c r="P46" s="27" t="s">
        <v>176</v>
      </c>
      <c r="R46" s="27">
        <v>0</v>
      </c>
      <c r="S46" s="30">
        <v>0</v>
      </c>
      <c r="U46" s="27" t="s">
        <v>176</v>
      </c>
      <c r="W46" s="27">
        <v>0</v>
      </c>
      <c r="X46" s="30"/>
    </row>
    <row r="47" spans="1:24" x14ac:dyDescent="0.25">
      <c r="A47" s="27" t="s">
        <v>31</v>
      </c>
      <c r="B47" s="27" t="s">
        <v>824</v>
      </c>
      <c r="C47" s="27">
        <v>1.2463768115942029</v>
      </c>
      <c r="D47" s="30">
        <v>1</v>
      </c>
      <c r="F47" s="27" t="s">
        <v>176</v>
      </c>
      <c r="G47" s="27" t="s">
        <v>838</v>
      </c>
      <c r="H47" s="27">
        <v>0</v>
      </c>
      <c r="I47" s="30"/>
      <c r="K47" s="27" t="s">
        <v>176</v>
      </c>
      <c r="L47" s="27" t="s">
        <v>838</v>
      </c>
      <c r="M47" s="27">
        <v>0</v>
      </c>
      <c r="N47" s="30"/>
      <c r="P47" s="27" t="s">
        <v>176</v>
      </c>
      <c r="Q47" s="27" t="s">
        <v>838</v>
      </c>
      <c r="R47" s="27">
        <v>0</v>
      </c>
      <c r="S47" s="30"/>
      <c r="U47" s="27" t="s">
        <v>176</v>
      </c>
      <c r="V47" s="27" t="s">
        <v>838</v>
      </c>
      <c r="W47" s="27">
        <v>0</v>
      </c>
      <c r="X47" s="30"/>
    </row>
    <row r="48" spans="1:24" x14ac:dyDescent="0.25">
      <c r="A48" s="27" t="s">
        <v>32</v>
      </c>
      <c r="C48" s="27">
        <v>7.4782608695652169</v>
      </c>
      <c r="D48" s="30">
        <v>2.5576968831786819E-2</v>
      </c>
      <c r="F48" s="27" t="s">
        <v>172</v>
      </c>
      <c r="H48" s="27">
        <v>0</v>
      </c>
      <c r="I48" s="30"/>
      <c r="K48" s="27" t="s">
        <v>172</v>
      </c>
      <c r="M48" s="27">
        <v>0</v>
      </c>
      <c r="N48" s="30"/>
      <c r="P48" s="27" t="s">
        <v>172</v>
      </c>
      <c r="R48" s="27">
        <v>0</v>
      </c>
      <c r="S48" s="30">
        <v>0</v>
      </c>
      <c r="U48" s="27" t="s">
        <v>172</v>
      </c>
      <c r="W48" s="27">
        <v>0</v>
      </c>
      <c r="X48" s="30"/>
    </row>
    <row r="49" spans="1:24" x14ac:dyDescent="0.25">
      <c r="A49" s="27" t="s">
        <v>32</v>
      </c>
      <c r="B49" s="27" t="s">
        <v>824</v>
      </c>
      <c r="C49" s="27">
        <v>3.7391304347826089</v>
      </c>
      <c r="D49" s="30">
        <v>0.50000000000000011</v>
      </c>
      <c r="F49" s="27" t="s">
        <v>172</v>
      </c>
      <c r="G49" s="27" t="s">
        <v>836</v>
      </c>
      <c r="H49" s="27">
        <v>0</v>
      </c>
      <c r="I49" s="30"/>
      <c r="K49" s="27" t="s">
        <v>172</v>
      </c>
      <c r="L49" s="27" t="s">
        <v>836</v>
      </c>
      <c r="M49" s="27">
        <v>0</v>
      </c>
      <c r="N49" s="30"/>
      <c r="P49" s="27" t="s">
        <v>172</v>
      </c>
      <c r="Q49" s="27" t="s">
        <v>836</v>
      </c>
      <c r="R49" s="27">
        <v>0</v>
      </c>
      <c r="S49" s="30"/>
      <c r="U49" s="27" t="s">
        <v>172</v>
      </c>
      <c r="V49" s="27" t="s">
        <v>836</v>
      </c>
      <c r="W49" s="27">
        <v>0</v>
      </c>
      <c r="X49" s="30"/>
    </row>
    <row r="50" spans="1:24" x14ac:dyDescent="0.25">
      <c r="A50" s="27" t="s">
        <v>32</v>
      </c>
      <c r="B50" s="27" t="s">
        <v>825</v>
      </c>
      <c r="C50" s="27">
        <v>0.62318840579710144</v>
      </c>
      <c r="D50" s="30">
        <v>8.3333333333333343E-2</v>
      </c>
      <c r="F50" s="27" t="s">
        <v>174</v>
      </c>
      <c r="H50" s="27">
        <v>0</v>
      </c>
      <c r="I50" s="30"/>
      <c r="K50" s="27" t="s">
        <v>174</v>
      </c>
      <c r="M50" s="27">
        <v>0</v>
      </c>
      <c r="N50" s="30"/>
      <c r="P50" s="27" t="s">
        <v>174</v>
      </c>
      <c r="R50" s="27">
        <v>0</v>
      </c>
      <c r="S50" s="30">
        <v>0</v>
      </c>
      <c r="U50" s="27" t="s">
        <v>174</v>
      </c>
      <c r="W50" s="27">
        <v>0</v>
      </c>
      <c r="X50" s="30"/>
    </row>
    <row r="51" spans="1:24" x14ac:dyDescent="0.25">
      <c r="A51" s="27" t="s">
        <v>32</v>
      </c>
      <c r="B51" s="27" t="s">
        <v>827</v>
      </c>
      <c r="C51" s="27">
        <v>3.1159420289855073</v>
      </c>
      <c r="D51" s="30">
        <v>0.41666666666666669</v>
      </c>
      <c r="F51" s="27" t="s">
        <v>174</v>
      </c>
      <c r="G51" s="27" t="s">
        <v>837</v>
      </c>
      <c r="H51" s="27">
        <v>0</v>
      </c>
      <c r="I51" s="30"/>
      <c r="K51" s="27" t="s">
        <v>174</v>
      </c>
      <c r="L51" s="27" t="s">
        <v>837</v>
      </c>
      <c r="M51" s="27">
        <v>0</v>
      </c>
      <c r="N51" s="30"/>
      <c r="P51" s="27" t="s">
        <v>174</v>
      </c>
      <c r="Q51" s="27" t="s">
        <v>837</v>
      </c>
      <c r="R51" s="27">
        <v>0</v>
      </c>
      <c r="S51" s="30"/>
      <c r="U51" s="27" t="s">
        <v>174</v>
      </c>
      <c r="V51" s="27" t="s">
        <v>837</v>
      </c>
      <c r="W51" s="27">
        <v>0</v>
      </c>
      <c r="X51" s="30"/>
    </row>
    <row r="52" spans="1:24" x14ac:dyDescent="0.25">
      <c r="A52" s="27" t="s">
        <v>105</v>
      </c>
      <c r="C52" s="27">
        <v>4.36231884057971</v>
      </c>
      <c r="D52" s="30">
        <v>1.4919898485208978E-2</v>
      </c>
      <c r="F52" s="27" t="s">
        <v>47</v>
      </c>
      <c r="H52" s="27">
        <v>0</v>
      </c>
      <c r="I52" s="30"/>
      <c r="K52" s="27" t="s">
        <v>47</v>
      </c>
      <c r="M52" s="27">
        <v>0</v>
      </c>
      <c r="N52" s="30"/>
      <c r="P52" s="27" t="s">
        <v>47</v>
      </c>
      <c r="R52" s="27">
        <v>0</v>
      </c>
      <c r="S52" s="30">
        <v>0</v>
      </c>
      <c r="U52" s="27" t="s">
        <v>47</v>
      </c>
      <c r="W52" s="27">
        <v>0</v>
      </c>
      <c r="X52" s="30"/>
    </row>
    <row r="53" spans="1:24" x14ac:dyDescent="0.25">
      <c r="A53" s="27" t="s">
        <v>105</v>
      </c>
      <c r="B53" s="27" t="s">
        <v>826</v>
      </c>
      <c r="C53" s="27">
        <v>0.62318840579710144</v>
      </c>
      <c r="D53" s="30">
        <v>0.14285714285714285</v>
      </c>
      <c r="F53" s="27" t="s">
        <v>47</v>
      </c>
      <c r="G53" s="27" t="s">
        <v>834</v>
      </c>
      <c r="H53" s="27">
        <v>0</v>
      </c>
      <c r="I53" s="30"/>
      <c r="K53" s="27" t="s">
        <v>47</v>
      </c>
      <c r="L53" s="27" t="s">
        <v>834</v>
      </c>
      <c r="M53" s="27">
        <v>0</v>
      </c>
      <c r="N53" s="30"/>
      <c r="P53" s="27" t="s">
        <v>47</v>
      </c>
      <c r="Q53" s="27" t="s">
        <v>834</v>
      </c>
      <c r="R53" s="27">
        <v>0</v>
      </c>
      <c r="S53" s="30"/>
      <c r="U53" s="27" t="s">
        <v>47</v>
      </c>
      <c r="V53" s="27" t="s">
        <v>834</v>
      </c>
      <c r="W53" s="27">
        <v>0</v>
      </c>
      <c r="X53" s="30"/>
    </row>
    <row r="54" spans="1:24" x14ac:dyDescent="0.25">
      <c r="A54" s="27" t="s">
        <v>105</v>
      </c>
      <c r="B54" s="27" t="s">
        <v>832</v>
      </c>
      <c r="C54" s="27">
        <v>2.4927536231884058</v>
      </c>
      <c r="D54" s="30">
        <v>0.5714285714285714</v>
      </c>
      <c r="F54" s="27" t="s">
        <v>47</v>
      </c>
      <c r="G54" s="27" t="s">
        <v>839</v>
      </c>
      <c r="H54" s="27">
        <v>0</v>
      </c>
      <c r="I54" s="30"/>
      <c r="K54" s="27" t="s">
        <v>47</v>
      </c>
      <c r="L54" s="27" t="s">
        <v>839</v>
      </c>
      <c r="M54" s="27">
        <v>0</v>
      </c>
      <c r="N54" s="30"/>
      <c r="P54" s="27" t="s">
        <v>47</v>
      </c>
      <c r="Q54" s="27" t="s">
        <v>839</v>
      </c>
      <c r="R54" s="27">
        <v>0</v>
      </c>
      <c r="S54" s="30"/>
      <c r="U54" s="27" t="s">
        <v>47</v>
      </c>
      <c r="V54" s="27" t="s">
        <v>839</v>
      </c>
      <c r="W54" s="27">
        <v>0</v>
      </c>
      <c r="X54" s="30"/>
    </row>
    <row r="55" spans="1:24" x14ac:dyDescent="0.25">
      <c r="A55" s="27" t="s">
        <v>105</v>
      </c>
      <c r="B55" s="27" t="s">
        <v>834</v>
      </c>
      <c r="C55" s="27">
        <v>1.2463768115942029</v>
      </c>
      <c r="D55" s="30">
        <v>0.2857142857142857</v>
      </c>
      <c r="F55" s="27" t="s">
        <v>170</v>
      </c>
      <c r="H55" s="27">
        <v>0</v>
      </c>
      <c r="I55" s="30"/>
      <c r="K55" s="27" t="s">
        <v>170</v>
      </c>
      <c r="M55" s="27">
        <v>0</v>
      </c>
      <c r="N55" s="30"/>
      <c r="P55" s="27" t="s">
        <v>170</v>
      </c>
      <c r="R55" s="27">
        <v>0</v>
      </c>
      <c r="S55" s="30">
        <v>0</v>
      </c>
      <c r="U55" s="27" t="s">
        <v>170</v>
      </c>
      <c r="W55" s="27">
        <v>0</v>
      </c>
      <c r="X55" s="30"/>
    </row>
    <row r="56" spans="1:24" x14ac:dyDescent="0.25">
      <c r="A56" s="27" t="s">
        <v>40</v>
      </c>
      <c r="C56" s="27">
        <v>1.8695652173913042</v>
      </c>
      <c r="D56" s="30">
        <v>6.3942422079467046E-3</v>
      </c>
      <c r="F56" s="27" t="s">
        <v>170</v>
      </c>
      <c r="G56" s="27" t="s">
        <v>833</v>
      </c>
      <c r="H56" s="27">
        <v>0</v>
      </c>
      <c r="I56" s="30"/>
      <c r="K56" s="27" t="s">
        <v>170</v>
      </c>
      <c r="L56" s="27" t="s">
        <v>833</v>
      </c>
      <c r="M56" s="27">
        <v>0</v>
      </c>
      <c r="N56" s="30"/>
      <c r="P56" s="27" t="s">
        <v>170</v>
      </c>
      <c r="Q56" s="27" t="s">
        <v>833</v>
      </c>
      <c r="R56" s="27">
        <v>0</v>
      </c>
      <c r="S56" s="30"/>
      <c r="U56" s="27" t="s">
        <v>170</v>
      </c>
      <c r="V56" s="27" t="s">
        <v>833</v>
      </c>
      <c r="W56" s="27">
        <v>0</v>
      </c>
      <c r="X56" s="30"/>
    </row>
    <row r="57" spans="1:24" x14ac:dyDescent="0.25">
      <c r="A57" s="27" t="s">
        <v>40</v>
      </c>
      <c r="B57" s="27" t="s">
        <v>827</v>
      </c>
      <c r="C57" s="27">
        <v>1.2463768115942029</v>
      </c>
      <c r="D57" s="30">
        <v>0.66666666666666674</v>
      </c>
      <c r="F57" s="27" t="s">
        <v>27</v>
      </c>
      <c r="H57" s="27">
        <v>0</v>
      </c>
      <c r="I57" s="30"/>
      <c r="K57" s="27" t="s">
        <v>27</v>
      </c>
      <c r="M57" s="27">
        <v>0</v>
      </c>
      <c r="N57" s="30"/>
      <c r="P57" s="27" t="s">
        <v>27</v>
      </c>
      <c r="R57" s="27">
        <v>0</v>
      </c>
      <c r="S57" s="30">
        <v>0</v>
      </c>
      <c r="U57" s="27" t="s">
        <v>27</v>
      </c>
      <c r="W57" s="27">
        <v>0</v>
      </c>
      <c r="X57" s="30"/>
    </row>
    <row r="58" spans="1:24" x14ac:dyDescent="0.25">
      <c r="A58" s="27" t="s">
        <v>40</v>
      </c>
      <c r="B58" s="27" t="s">
        <v>826</v>
      </c>
      <c r="C58" s="27">
        <v>0.62318840579710144</v>
      </c>
      <c r="D58" s="30">
        <v>0.33333333333333337</v>
      </c>
      <c r="F58" s="27" t="s">
        <v>27</v>
      </c>
      <c r="G58" s="27" t="s">
        <v>27</v>
      </c>
      <c r="H58" s="27">
        <v>0</v>
      </c>
      <c r="I58" s="30"/>
      <c r="K58" s="27" t="s">
        <v>27</v>
      </c>
      <c r="L58" s="27" t="s">
        <v>27</v>
      </c>
      <c r="M58" s="27">
        <v>0</v>
      </c>
      <c r="N58" s="30"/>
      <c r="P58" s="27" t="s">
        <v>27</v>
      </c>
      <c r="Q58" s="27" t="s">
        <v>27</v>
      </c>
      <c r="R58" s="27">
        <v>0</v>
      </c>
      <c r="S58" s="30"/>
      <c r="U58" s="27" t="s">
        <v>27</v>
      </c>
      <c r="V58" s="27" t="s">
        <v>27</v>
      </c>
      <c r="W58" s="27">
        <v>0</v>
      </c>
      <c r="X58" s="30"/>
    </row>
    <row r="59" spans="1:24" x14ac:dyDescent="0.25">
      <c r="A59" s="27" t="s">
        <v>77</v>
      </c>
      <c r="C59" s="27">
        <v>292.38260869565215</v>
      </c>
      <c r="D59" s="30">
        <v>1</v>
      </c>
      <c r="F59" s="27" t="s">
        <v>77</v>
      </c>
      <c r="H59" s="27">
        <v>0</v>
      </c>
      <c r="I59" s="30"/>
      <c r="K59" s="27" t="s">
        <v>77</v>
      </c>
      <c r="M59" s="27">
        <v>0</v>
      </c>
      <c r="N59" s="30"/>
      <c r="P59" s="27" t="s">
        <v>77</v>
      </c>
      <c r="R59" s="27">
        <v>14.956521739130435</v>
      </c>
      <c r="S59" s="30">
        <v>1</v>
      </c>
      <c r="U59" s="27" t="s">
        <v>77</v>
      </c>
      <c r="W59" s="27">
        <v>0</v>
      </c>
      <c r="X59" s="30"/>
    </row>
    <row r="60" spans="1:24" x14ac:dyDescent="0.25">
      <c r="A60"/>
      <c r="B60"/>
      <c r="C60"/>
      <c r="D60"/>
      <c r="F60"/>
      <c r="G60"/>
      <c r="H60"/>
      <c r="I60"/>
      <c r="K60"/>
      <c r="L60"/>
      <c r="M60"/>
      <c r="N60"/>
      <c r="P60"/>
      <c r="Q60"/>
      <c r="R60"/>
      <c r="S60"/>
      <c r="U60"/>
      <c r="V60"/>
      <c r="W60"/>
      <c r="X60"/>
    </row>
    <row r="61" spans="1:24" x14ac:dyDescent="0.25">
      <c r="A61"/>
      <c r="B61"/>
      <c r="C61"/>
      <c r="D61"/>
      <c r="F61"/>
      <c r="G61"/>
      <c r="H61"/>
      <c r="I61"/>
      <c r="K61"/>
      <c r="L61"/>
      <c r="M61"/>
      <c r="N61"/>
      <c r="P61"/>
      <c r="Q61"/>
      <c r="R61"/>
      <c r="S61"/>
      <c r="U61"/>
      <c r="V61"/>
      <c r="W61"/>
      <c r="X61"/>
    </row>
    <row r="62" spans="1:24" x14ac:dyDescent="0.25">
      <c r="A62"/>
      <c r="B62"/>
      <c r="C62"/>
      <c r="D62"/>
      <c r="F62"/>
      <c r="G62"/>
      <c r="H62"/>
      <c r="I62"/>
      <c r="K62"/>
      <c r="L62"/>
      <c r="M62"/>
      <c r="N62"/>
      <c r="P62"/>
      <c r="Q62"/>
      <c r="R62"/>
      <c r="S62"/>
      <c r="U62"/>
      <c r="V62"/>
      <c r="W62"/>
      <c r="X62"/>
    </row>
    <row r="63" spans="1:24" x14ac:dyDescent="0.25">
      <c r="A63"/>
      <c r="B63"/>
      <c r="C63"/>
      <c r="D63"/>
      <c r="F63"/>
      <c r="G63"/>
      <c r="H63"/>
      <c r="I63"/>
      <c r="K63"/>
      <c r="L63"/>
      <c r="M63"/>
      <c r="N63"/>
      <c r="P63"/>
      <c r="Q63"/>
      <c r="R63"/>
      <c r="S63"/>
      <c r="U63"/>
      <c r="V63"/>
      <c r="W63"/>
      <c r="X63"/>
    </row>
    <row r="64" spans="1:24" x14ac:dyDescent="0.25">
      <c r="A64"/>
      <c r="B64"/>
      <c r="C64"/>
      <c r="D64"/>
      <c r="F64"/>
      <c r="G64"/>
      <c r="H64"/>
      <c r="I64"/>
      <c r="K64"/>
      <c r="L64"/>
      <c r="M64"/>
      <c r="N64"/>
      <c r="P64"/>
      <c r="Q64"/>
      <c r="R64"/>
      <c r="S64"/>
      <c r="U64"/>
      <c r="V64"/>
      <c r="W64"/>
      <c r="X64"/>
    </row>
    <row r="65" spans="1:24" x14ac:dyDescent="0.25">
      <c r="A65"/>
      <c r="B65"/>
      <c r="C65"/>
      <c r="D65"/>
      <c r="F65"/>
      <c r="G65"/>
      <c r="H65"/>
      <c r="I65"/>
      <c r="K65"/>
      <c r="L65"/>
      <c r="M65"/>
      <c r="N65"/>
      <c r="P65"/>
      <c r="Q65"/>
      <c r="R65"/>
      <c r="S65"/>
      <c r="U65"/>
      <c r="V65"/>
      <c r="W65"/>
      <c r="X65"/>
    </row>
    <row r="66" spans="1:24" x14ac:dyDescent="0.25">
      <c r="A66"/>
      <c r="B66"/>
      <c r="C66"/>
      <c r="D66"/>
      <c r="F66"/>
      <c r="G66"/>
      <c r="H66"/>
      <c r="I66"/>
      <c r="K66"/>
      <c r="L66"/>
      <c r="M66"/>
      <c r="N66"/>
      <c r="P66"/>
      <c r="Q66"/>
      <c r="R66"/>
      <c r="S66"/>
      <c r="U66"/>
      <c r="V66"/>
      <c r="W66"/>
      <c r="X66"/>
    </row>
    <row r="67" spans="1:24" x14ac:dyDescent="0.25">
      <c r="A67"/>
      <c r="B67"/>
      <c r="C67"/>
      <c r="D67"/>
      <c r="F67"/>
      <c r="G67"/>
      <c r="H67"/>
      <c r="I67"/>
      <c r="K67"/>
      <c r="L67"/>
      <c r="M67"/>
      <c r="N67"/>
      <c r="P67"/>
      <c r="Q67"/>
      <c r="R67"/>
      <c r="S67"/>
      <c r="U67"/>
      <c r="V67"/>
      <c r="W67"/>
      <c r="X67"/>
    </row>
    <row r="68" spans="1:24" x14ac:dyDescent="0.25">
      <c r="A68"/>
      <c r="B68"/>
      <c r="C68"/>
      <c r="D68"/>
      <c r="F68"/>
      <c r="G68"/>
      <c r="H68"/>
      <c r="I68"/>
      <c r="K68"/>
      <c r="L68"/>
      <c r="M68"/>
      <c r="N68"/>
      <c r="P68"/>
      <c r="Q68"/>
      <c r="R68"/>
      <c r="S68"/>
      <c r="U68"/>
      <c r="V68"/>
      <c r="W68"/>
      <c r="X68"/>
    </row>
    <row r="69" spans="1:24" x14ac:dyDescent="0.25">
      <c r="A69"/>
      <c r="B69"/>
      <c r="C69"/>
      <c r="D69"/>
      <c r="F69"/>
      <c r="G69"/>
      <c r="H69"/>
      <c r="I69"/>
      <c r="K69"/>
      <c r="L69"/>
      <c r="M69"/>
      <c r="N69"/>
      <c r="P69"/>
      <c r="Q69"/>
      <c r="R69"/>
      <c r="S69"/>
      <c r="U69"/>
      <c r="V69"/>
      <c r="W69"/>
      <c r="X69"/>
    </row>
    <row r="70" spans="1:24" x14ac:dyDescent="0.25">
      <c r="A70"/>
      <c r="B70"/>
      <c r="C70"/>
      <c r="D70"/>
      <c r="F70"/>
      <c r="G70"/>
      <c r="H70"/>
      <c r="I70"/>
      <c r="K70"/>
      <c r="L70"/>
      <c r="M70"/>
      <c r="N70"/>
      <c r="P70"/>
      <c r="Q70"/>
      <c r="R70"/>
      <c r="S70"/>
      <c r="U70"/>
      <c r="V70"/>
      <c r="W70"/>
      <c r="X70"/>
    </row>
    <row r="71" spans="1:24" x14ac:dyDescent="0.25">
      <c r="A71"/>
      <c r="B71"/>
      <c r="C71"/>
      <c r="D71"/>
      <c r="F71"/>
      <c r="G71"/>
      <c r="H71"/>
      <c r="I71"/>
      <c r="K71"/>
      <c r="L71"/>
      <c r="M71"/>
      <c r="N71"/>
      <c r="P71"/>
      <c r="Q71"/>
      <c r="R71"/>
      <c r="S71"/>
      <c r="U71"/>
      <c r="V71"/>
      <c r="W71"/>
      <c r="X71"/>
    </row>
    <row r="72" spans="1:24" x14ac:dyDescent="0.25">
      <c r="A72"/>
      <c r="B72"/>
      <c r="C72"/>
      <c r="D72"/>
      <c r="F72"/>
      <c r="G72"/>
      <c r="H72"/>
      <c r="I72"/>
      <c r="K72"/>
      <c r="L72"/>
      <c r="M72"/>
      <c r="N72"/>
      <c r="P72"/>
      <c r="Q72"/>
      <c r="R72"/>
      <c r="S72"/>
      <c r="U72"/>
      <c r="V72"/>
      <c r="W72"/>
      <c r="X72"/>
    </row>
    <row r="73" spans="1:24" x14ac:dyDescent="0.25">
      <c r="A73"/>
      <c r="B73"/>
      <c r="C73"/>
      <c r="D73"/>
      <c r="F73"/>
      <c r="G73"/>
      <c r="H73"/>
      <c r="I73"/>
      <c r="K73"/>
      <c r="L73"/>
      <c r="M73"/>
      <c r="N73"/>
      <c r="P73"/>
      <c r="Q73"/>
      <c r="R73"/>
      <c r="S73"/>
      <c r="U73"/>
      <c r="V73"/>
      <c r="W73"/>
      <c r="X73"/>
    </row>
    <row r="74" spans="1:24" x14ac:dyDescent="0.25">
      <c r="A74"/>
      <c r="B74"/>
      <c r="C74"/>
      <c r="D74"/>
      <c r="F74"/>
      <c r="G74"/>
      <c r="H74"/>
      <c r="I74"/>
      <c r="K74"/>
      <c r="L74"/>
      <c r="M74"/>
      <c r="N74"/>
      <c r="P74"/>
      <c r="Q74"/>
      <c r="R74"/>
      <c r="S74"/>
      <c r="U74"/>
      <c r="V74"/>
      <c r="W74"/>
      <c r="X74"/>
    </row>
    <row r="75" spans="1:24" x14ac:dyDescent="0.25">
      <c r="A75"/>
      <c r="B75"/>
      <c r="C75"/>
      <c r="D75"/>
      <c r="F75"/>
      <c r="G75"/>
      <c r="H75"/>
      <c r="I75"/>
      <c r="K75"/>
      <c r="L75"/>
      <c r="M75"/>
      <c r="N75"/>
      <c r="P75"/>
      <c r="Q75"/>
      <c r="R75"/>
      <c r="S75"/>
      <c r="U75"/>
      <c r="V75"/>
      <c r="W75"/>
      <c r="X75"/>
    </row>
    <row r="76" spans="1:24" x14ac:dyDescent="0.25">
      <c r="A76"/>
      <c r="B76"/>
      <c r="C76"/>
      <c r="D76"/>
      <c r="F76"/>
      <c r="G76"/>
      <c r="H76"/>
      <c r="I76"/>
      <c r="K76"/>
      <c r="L76"/>
      <c r="M76"/>
      <c r="N76"/>
      <c r="P76"/>
      <c r="Q76"/>
      <c r="R76"/>
      <c r="S76"/>
      <c r="U76"/>
      <c r="V76"/>
      <c r="W76"/>
      <c r="X76"/>
    </row>
    <row r="77" spans="1:24" x14ac:dyDescent="0.25">
      <c r="A77"/>
      <c r="B77"/>
      <c r="C77"/>
      <c r="D77"/>
      <c r="F77"/>
      <c r="G77"/>
      <c r="H77"/>
      <c r="I77"/>
      <c r="K77"/>
      <c r="L77"/>
      <c r="M77"/>
      <c r="N77"/>
      <c r="P77"/>
      <c r="Q77"/>
      <c r="R77"/>
      <c r="S77"/>
      <c r="U77"/>
      <c r="V77"/>
      <c r="W77"/>
      <c r="X77"/>
    </row>
    <row r="78" spans="1:24" x14ac:dyDescent="0.25">
      <c r="A78"/>
      <c r="B78"/>
      <c r="C78"/>
      <c r="D78"/>
      <c r="F78"/>
      <c r="G78"/>
      <c r="H78"/>
      <c r="I78"/>
      <c r="K78"/>
      <c r="L78"/>
      <c r="M78"/>
      <c r="N78"/>
      <c r="P78"/>
      <c r="Q78"/>
      <c r="R78"/>
      <c r="S78"/>
      <c r="U78"/>
      <c r="V78"/>
      <c r="W78"/>
      <c r="X78"/>
    </row>
    <row r="79" spans="1:24" x14ac:dyDescent="0.25">
      <c r="A79"/>
      <c r="B79"/>
      <c r="C79"/>
      <c r="D79"/>
      <c r="F79"/>
      <c r="G79"/>
      <c r="H79"/>
      <c r="I79"/>
      <c r="K79"/>
      <c r="L79"/>
      <c r="M79"/>
      <c r="N79"/>
      <c r="P79"/>
      <c r="Q79"/>
      <c r="R79"/>
      <c r="S79"/>
      <c r="U79"/>
      <c r="V79"/>
      <c r="W79"/>
      <c r="X79"/>
    </row>
    <row r="80" spans="1:24" x14ac:dyDescent="0.25">
      <c r="A80"/>
      <c r="B80"/>
      <c r="C80"/>
      <c r="D80"/>
      <c r="F80"/>
      <c r="G80"/>
      <c r="H80"/>
      <c r="I80"/>
      <c r="K80"/>
      <c r="L80"/>
      <c r="M80"/>
      <c r="N80"/>
      <c r="P80"/>
      <c r="Q80"/>
      <c r="R80"/>
      <c r="S80"/>
      <c r="U80"/>
      <c r="V80"/>
      <c r="W80"/>
      <c r="X80"/>
    </row>
    <row r="81" spans="1:24" x14ac:dyDescent="0.25">
      <c r="A81"/>
      <c r="B81"/>
      <c r="C81"/>
      <c r="D81"/>
      <c r="F81"/>
      <c r="G81"/>
      <c r="H81"/>
      <c r="I81"/>
      <c r="K81"/>
      <c r="L81"/>
      <c r="M81"/>
      <c r="N81"/>
      <c r="P81"/>
      <c r="Q81"/>
      <c r="R81"/>
      <c r="S81"/>
      <c r="U81"/>
      <c r="V81"/>
      <c r="W81"/>
      <c r="X81"/>
    </row>
    <row r="82" spans="1:24" x14ac:dyDescent="0.25">
      <c r="A82"/>
      <c r="B82"/>
      <c r="C82"/>
      <c r="D82"/>
      <c r="F82"/>
      <c r="G82"/>
      <c r="H82"/>
      <c r="I82"/>
      <c r="K82"/>
      <c r="L82"/>
      <c r="M82"/>
      <c r="N82"/>
      <c r="P82"/>
      <c r="Q82"/>
      <c r="R82"/>
      <c r="S82"/>
      <c r="U82"/>
      <c r="V82"/>
      <c r="W82"/>
      <c r="X82"/>
    </row>
    <row r="83" spans="1:24" x14ac:dyDescent="0.25">
      <c r="A83"/>
      <c r="B83"/>
      <c r="C83"/>
      <c r="D83"/>
      <c r="F83"/>
      <c r="G83"/>
      <c r="H83"/>
      <c r="I83"/>
      <c r="K83"/>
      <c r="L83"/>
      <c r="M83"/>
      <c r="N83"/>
      <c r="P83"/>
      <c r="Q83"/>
      <c r="R83"/>
      <c r="S83"/>
      <c r="U83"/>
      <c r="V83"/>
      <c r="W83"/>
      <c r="X83"/>
    </row>
    <row r="84" spans="1:24" x14ac:dyDescent="0.25">
      <c r="A84"/>
      <c r="B84"/>
      <c r="C84"/>
      <c r="D84"/>
      <c r="F84"/>
      <c r="G84"/>
      <c r="H84"/>
      <c r="I84"/>
      <c r="K84"/>
      <c r="L84"/>
      <c r="M84"/>
      <c r="N84"/>
      <c r="P84"/>
      <c r="Q84"/>
      <c r="R84"/>
      <c r="S84"/>
      <c r="U84"/>
      <c r="V84"/>
      <c r="W84"/>
      <c r="X84"/>
    </row>
    <row r="85" spans="1:24" x14ac:dyDescent="0.25">
      <c r="A85"/>
      <c r="B85"/>
      <c r="C85"/>
      <c r="D85"/>
      <c r="F85"/>
      <c r="G85"/>
      <c r="H85"/>
      <c r="I85"/>
      <c r="K85"/>
      <c r="L85"/>
      <c r="M85"/>
      <c r="N85"/>
      <c r="P85"/>
      <c r="Q85"/>
      <c r="R85"/>
      <c r="S85"/>
      <c r="U85"/>
      <c r="V85"/>
      <c r="W85"/>
      <c r="X85"/>
    </row>
    <row r="86" spans="1:24" x14ac:dyDescent="0.25">
      <c r="A86"/>
      <c r="B86"/>
      <c r="C86"/>
      <c r="D86"/>
      <c r="F86"/>
      <c r="G86"/>
      <c r="H86"/>
      <c r="I86"/>
      <c r="K86"/>
      <c r="L86"/>
      <c r="M86"/>
      <c r="N86"/>
      <c r="P86"/>
      <c r="Q86"/>
      <c r="R86"/>
      <c r="S86"/>
      <c r="U86"/>
      <c r="V86"/>
      <c r="W86"/>
      <c r="X86"/>
    </row>
    <row r="87" spans="1:24" x14ac:dyDescent="0.25">
      <c r="A87"/>
      <c r="B87"/>
      <c r="C87"/>
      <c r="D87"/>
      <c r="F87"/>
      <c r="G87"/>
      <c r="H87"/>
      <c r="I87"/>
      <c r="K87"/>
      <c r="L87"/>
      <c r="M87"/>
      <c r="N87"/>
      <c r="P87"/>
      <c r="Q87"/>
      <c r="R87"/>
      <c r="S87"/>
      <c r="U87"/>
      <c r="V87"/>
      <c r="W87"/>
      <c r="X87"/>
    </row>
    <row r="88" spans="1:24" x14ac:dyDescent="0.25">
      <c r="A88"/>
      <c r="B88"/>
      <c r="C88"/>
      <c r="D88"/>
      <c r="F88"/>
      <c r="G88"/>
      <c r="H88"/>
      <c r="I88"/>
      <c r="K88"/>
      <c r="L88"/>
      <c r="M88"/>
      <c r="N88"/>
      <c r="P88"/>
      <c r="Q88"/>
      <c r="R88"/>
      <c r="S88"/>
      <c r="U88"/>
      <c r="V88"/>
      <c r="W88"/>
      <c r="X88"/>
    </row>
    <row r="89" spans="1:24" x14ac:dyDescent="0.25">
      <c r="A89"/>
      <c r="B89"/>
      <c r="C89"/>
      <c r="D89"/>
      <c r="F89"/>
      <c r="G89"/>
      <c r="H89"/>
      <c r="I89"/>
      <c r="K89"/>
      <c r="L89"/>
      <c r="M89"/>
      <c r="N89"/>
      <c r="P89"/>
      <c r="Q89"/>
      <c r="R89"/>
      <c r="S89"/>
      <c r="U89"/>
      <c r="V89"/>
      <c r="W89"/>
      <c r="X89"/>
    </row>
    <row r="90" spans="1:24" x14ac:dyDescent="0.25">
      <c r="A90"/>
      <c r="B90"/>
      <c r="C90"/>
      <c r="D90"/>
      <c r="F90"/>
      <c r="G90"/>
      <c r="H90"/>
      <c r="I90"/>
      <c r="K90"/>
      <c r="L90"/>
      <c r="M90"/>
      <c r="N90"/>
      <c r="P90"/>
      <c r="Q90"/>
      <c r="R90"/>
      <c r="S90"/>
      <c r="U90"/>
      <c r="V90"/>
      <c r="W90"/>
      <c r="X90"/>
    </row>
    <row r="91" spans="1:24" x14ac:dyDescent="0.25">
      <c r="A91"/>
      <c r="B91"/>
      <c r="C91"/>
      <c r="D91"/>
      <c r="F91"/>
      <c r="G91"/>
      <c r="H91"/>
      <c r="I91"/>
      <c r="K91"/>
      <c r="L91"/>
      <c r="M91"/>
      <c r="N91"/>
      <c r="P91"/>
      <c r="Q91"/>
      <c r="R91"/>
      <c r="S91"/>
      <c r="U91"/>
      <c r="V91"/>
      <c r="W91"/>
      <c r="X91"/>
    </row>
    <row r="92" spans="1:24" x14ac:dyDescent="0.25">
      <c r="A92"/>
      <c r="B92"/>
      <c r="C92"/>
      <c r="D92"/>
      <c r="F92"/>
      <c r="G92"/>
      <c r="H92"/>
      <c r="I92"/>
      <c r="K92"/>
      <c r="L92"/>
      <c r="M92"/>
      <c r="N92"/>
      <c r="P92"/>
      <c r="Q92"/>
      <c r="R92"/>
      <c r="S92"/>
      <c r="U92"/>
      <c r="V92"/>
      <c r="W92"/>
      <c r="X92"/>
    </row>
    <row r="93" spans="1:24" x14ac:dyDescent="0.25">
      <c r="A93"/>
      <c r="B93"/>
      <c r="C93"/>
      <c r="D93"/>
      <c r="F93"/>
      <c r="G93"/>
      <c r="H93"/>
      <c r="I93"/>
      <c r="K93"/>
      <c r="L93"/>
      <c r="M93"/>
      <c r="N93"/>
      <c r="P93"/>
      <c r="Q93"/>
      <c r="R93"/>
      <c r="S93"/>
      <c r="U93"/>
      <c r="V93"/>
      <c r="W93"/>
      <c r="X93"/>
    </row>
    <row r="94" spans="1:24" x14ac:dyDescent="0.25">
      <c r="A94"/>
      <c r="B94"/>
      <c r="C94"/>
      <c r="D94"/>
      <c r="F94"/>
      <c r="G94"/>
      <c r="H94"/>
      <c r="I94"/>
      <c r="K94"/>
      <c r="L94"/>
      <c r="M94"/>
      <c r="N94"/>
      <c r="P94"/>
      <c r="Q94"/>
      <c r="R94"/>
      <c r="S94"/>
      <c r="U94"/>
      <c r="V94"/>
      <c r="W94"/>
      <c r="X94"/>
    </row>
    <row r="95" spans="1:24" x14ac:dyDescent="0.25">
      <c r="A95"/>
      <c r="B95"/>
      <c r="C95"/>
      <c r="D95"/>
      <c r="F95"/>
      <c r="G95"/>
      <c r="H95"/>
      <c r="I95"/>
      <c r="K95"/>
      <c r="L95"/>
      <c r="M95"/>
      <c r="N95"/>
      <c r="P95"/>
      <c r="Q95"/>
      <c r="R95"/>
      <c r="S95"/>
      <c r="U95"/>
      <c r="V95"/>
      <c r="W95"/>
      <c r="X95"/>
    </row>
    <row r="96" spans="1:24" x14ac:dyDescent="0.25">
      <c r="A96"/>
      <c r="B96"/>
      <c r="C96"/>
      <c r="D96"/>
      <c r="F96"/>
      <c r="G96"/>
      <c r="H96"/>
      <c r="I96"/>
      <c r="K96"/>
      <c r="L96"/>
      <c r="M96"/>
      <c r="N96"/>
      <c r="P96"/>
      <c r="Q96"/>
      <c r="R96"/>
      <c r="S96"/>
      <c r="U96"/>
      <c r="V96"/>
      <c r="W96"/>
      <c r="X96"/>
    </row>
    <row r="97" spans="1:24" x14ac:dyDescent="0.25">
      <c r="A97"/>
      <c r="B97"/>
      <c r="C97"/>
      <c r="D97"/>
      <c r="F97"/>
      <c r="G97"/>
      <c r="H97"/>
      <c r="I97"/>
      <c r="K97"/>
      <c r="L97"/>
      <c r="M97"/>
      <c r="N97"/>
      <c r="P97"/>
      <c r="Q97"/>
      <c r="R97"/>
      <c r="S97"/>
      <c r="U97"/>
      <c r="V97"/>
      <c r="W97"/>
      <c r="X97"/>
    </row>
    <row r="98" spans="1:24" x14ac:dyDescent="0.25">
      <c r="A98"/>
      <c r="B98"/>
      <c r="C98"/>
      <c r="D98"/>
      <c r="F98"/>
      <c r="G98"/>
      <c r="H98"/>
      <c r="I98"/>
      <c r="K98"/>
      <c r="L98"/>
      <c r="M98"/>
      <c r="N98"/>
      <c r="P98"/>
      <c r="Q98"/>
      <c r="R98"/>
      <c r="S98"/>
      <c r="U98"/>
      <c r="V98"/>
      <c r="W98"/>
      <c r="X98"/>
    </row>
    <row r="99" spans="1:24" x14ac:dyDescent="0.25">
      <c r="A99"/>
      <c r="B99"/>
      <c r="C99"/>
      <c r="D99"/>
      <c r="F99"/>
      <c r="G99"/>
      <c r="H99"/>
      <c r="I99"/>
      <c r="K99"/>
      <c r="L99"/>
      <c r="M99"/>
      <c r="N99"/>
      <c r="P99"/>
      <c r="Q99"/>
      <c r="R99"/>
      <c r="S99"/>
      <c r="U99"/>
      <c r="V99"/>
      <c r="W99"/>
      <c r="X99"/>
    </row>
    <row r="100" spans="1:24" x14ac:dyDescent="0.25">
      <c r="A100"/>
      <c r="B100"/>
      <c r="C100"/>
      <c r="D100"/>
      <c r="F100"/>
      <c r="G100"/>
      <c r="H100"/>
      <c r="I100"/>
      <c r="K100"/>
      <c r="L100"/>
      <c r="M100"/>
      <c r="N100"/>
      <c r="P100"/>
      <c r="Q100"/>
      <c r="R100"/>
      <c r="S100"/>
      <c r="U100"/>
      <c r="V100"/>
      <c r="W100"/>
      <c r="X100"/>
    </row>
    <row r="101" spans="1:24" x14ac:dyDescent="0.25">
      <c r="A101"/>
      <c r="B101"/>
      <c r="C101"/>
      <c r="D101"/>
      <c r="F101"/>
      <c r="G101"/>
      <c r="H101"/>
      <c r="I101"/>
      <c r="K101"/>
      <c r="L101"/>
      <c r="M101"/>
      <c r="N101"/>
      <c r="P101"/>
      <c r="Q101"/>
      <c r="R101"/>
      <c r="S101"/>
      <c r="U101"/>
      <c r="V101"/>
      <c r="W101"/>
      <c r="X101"/>
    </row>
    <row r="102" spans="1:24" x14ac:dyDescent="0.25">
      <c r="A102"/>
      <c r="B102"/>
      <c r="C102"/>
      <c r="D102"/>
      <c r="F102"/>
      <c r="G102"/>
      <c r="H102"/>
      <c r="I102"/>
      <c r="K102"/>
      <c r="L102"/>
      <c r="M102"/>
      <c r="N102"/>
      <c r="P102"/>
      <c r="Q102"/>
      <c r="R102"/>
      <c r="S102"/>
      <c r="U102"/>
      <c r="V102"/>
      <c r="W102"/>
      <c r="X102"/>
    </row>
    <row r="103" spans="1:24" x14ac:dyDescent="0.25">
      <c r="A103"/>
      <c r="B103"/>
      <c r="C103"/>
      <c r="D103"/>
      <c r="F103"/>
      <c r="G103"/>
      <c r="H103"/>
      <c r="I103"/>
      <c r="K103"/>
      <c r="L103"/>
      <c r="M103"/>
      <c r="N103"/>
      <c r="P103"/>
      <c r="Q103"/>
      <c r="R103"/>
      <c r="S103"/>
      <c r="U103"/>
      <c r="V103"/>
      <c r="W103"/>
      <c r="X103"/>
    </row>
    <row r="104" spans="1:24" x14ac:dyDescent="0.25">
      <c r="A104"/>
      <c r="B104"/>
      <c r="C104"/>
      <c r="D104"/>
      <c r="F104"/>
      <c r="G104"/>
      <c r="H104"/>
      <c r="I104"/>
      <c r="K104"/>
      <c r="L104"/>
      <c r="M104"/>
      <c r="N104"/>
      <c r="P104"/>
      <c r="Q104"/>
      <c r="R104"/>
      <c r="S104"/>
      <c r="U104"/>
      <c r="V104"/>
      <c r="W104"/>
      <c r="X104"/>
    </row>
    <row r="105" spans="1:24" x14ac:dyDescent="0.25">
      <c r="A105"/>
      <c r="B105"/>
      <c r="C105"/>
      <c r="D105"/>
      <c r="F105"/>
      <c r="G105"/>
      <c r="H105"/>
      <c r="I105"/>
      <c r="K105"/>
      <c r="L105"/>
      <c r="M105"/>
      <c r="N105"/>
      <c r="P105"/>
      <c r="Q105"/>
      <c r="R105"/>
      <c r="S105"/>
      <c r="U105"/>
      <c r="V105"/>
      <c r="W105"/>
      <c r="X105"/>
    </row>
    <row r="106" spans="1:24" x14ac:dyDescent="0.25">
      <c r="A106"/>
      <c r="B106"/>
      <c r="C106"/>
      <c r="D106"/>
      <c r="F106"/>
      <c r="G106"/>
      <c r="H106"/>
      <c r="I106"/>
      <c r="K106"/>
      <c r="L106"/>
      <c r="M106"/>
      <c r="N106"/>
      <c r="P106"/>
      <c r="Q106"/>
      <c r="R106"/>
      <c r="S106"/>
      <c r="U106"/>
      <c r="V106"/>
      <c r="W106"/>
      <c r="X106"/>
    </row>
    <row r="107" spans="1:24" x14ac:dyDescent="0.25">
      <c r="A107"/>
      <c r="B107"/>
      <c r="C107"/>
      <c r="D107"/>
      <c r="F107"/>
      <c r="G107"/>
      <c r="H107"/>
      <c r="I107"/>
      <c r="K107"/>
      <c r="L107"/>
      <c r="M107"/>
      <c r="N107"/>
      <c r="P107"/>
      <c r="Q107"/>
      <c r="R107"/>
      <c r="S107"/>
      <c r="U107"/>
      <c r="V107"/>
      <c r="W107"/>
      <c r="X107"/>
    </row>
    <row r="108" spans="1:24" x14ac:dyDescent="0.25">
      <c r="A108"/>
      <c r="B108"/>
      <c r="C108"/>
      <c r="D108"/>
      <c r="F108"/>
      <c r="G108"/>
      <c r="H108"/>
      <c r="I108"/>
      <c r="K108"/>
      <c r="L108"/>
      <c r="M108"/>
      <c r="N108"/>
      <c r="P108"/>
      <c r="Q108"/>
      <c r="R108"/>
      <c r="S108"/>
      <c r="U108"/>
      <c r="V108"/>
      <c r="W108"/>
      <c r="X108"/>
    </row>
    <row r="109" spans="1:24" x14ac:dyDescent="0.25">
      <c r="A109"/>
      <c r="B109"/>
      <c r="C109"/>
      <c r="D109"/>
      <c r="F109"/>
      <c r="G109"/>
      <c r="H109"/>
      <c r="I109"/>
      <c r="K109"/>
      <c r="L109"/>
      <c r="M109"/>
      <c r="N109"/>
      <c r="P109"/>
      <c r="Q109"/>
      <c r="R109"/>
      <c r="S109"/>
      <c r="U109"/>
      <c r="V109"/>
      <c r="W109"/>
      <c r="X109"/>
    </row>
    <row r="110" spans="1:24" x14ac:dyDescent="0.25">
      <c r="A110"/>
      <c r="B110"/>
      <c r="C110"/>
      <c r="D110"/>
      <c r="F110"/>
      <c r="G110"/>
      <c r="H110"/>
      <c r="I110"/>
      <c r="K110"/>
      <c r="L110"/>
      <c r="M110"/>
      <c r="N110"/>
      <c r="P110"/>
      <c r="Q110"/>
      <c r="R110"/>
      <c r="S110"/>
      <c r="U110"/>
      <c r="V110"/>
      <c r="W110"/>
      <c r="X110"/>
    </row>
    <row r="111" spans="1:24" x14ac:dyDescent="0.25">
      <c r="A111"/>
      <c r="B111"/>
      <c r="C111"/>
      <c r="D111"/>
      <c r="F111"/>
      <c r="G111"/>
      <c r="H111"/>
      <c r="I111"/>
      <c r="K111"/>
      <c r="L111"/>
      <c r="M111"/>
      <c r="N111"/>
      <c r="P111"/>
      <c r="Q111"/>
      <c r="R111"/>
      <c r="S111"/>
      <c r="U111"/>
      <c r="V111"/>
      <c r="W111"/>
      <c r="X111"/>
    </row>
    <row r="112" spans="1:24" x14ac:dyDescent="0.25">
      <c r="A112"/>
      <c r="B112"/>
      <c r="C112"/>
      <c r="D112"/>
      <c r="F112"/>
      <c r="G112"/>
      <c r="H112"/>
      <c r="I112"/>
      <c r="K112"/>
      <c r="L112"/>
      <c r="M112"/>
      <c r="N112"/>
      <c r="P112"/>
      <c r="Q112"/>
      <c r="R112"/>
      <c r="S112"/>
      <c r="U112"/>
      <c r="V112"/>
      <c r="W112"/>
      <c r="X112"/>
    </row>
    <row r="113" spans="1:24" x14ac:dyDescent="0.25">
      <c r="A113"/>
      <c r="B113"/>
      <c r="C113"/>
      <c r="D113"/>
      <c r="F113"/>
      <c r="G113"/>
      <c r="H113"/>
      <c r="I113"/>
      <c r="K113"/>
      <c r="L113"/>
      <c r="M113"/>
      <c r="N113"/>
      <c r="P113"/>
      <c r="Q113"/>
      <c r="R113"/>
      <c r="S113"/>
      <c r="U113"/>
      <c r="V113"/>
      <c r="W113"/>
      <c r="X113"/>
    </row>
    <row r="114" spans="1:24" x14ac:dyDescent="0.25">
      <c r="A114"/>
      <c r="B114"/>
      <c r="C114"/>
      <c r="D114"/>
      <c r="F114"/>
      <c r="G114"/>
      <c r="H114"/>
      <c r="I114"/>
      <c r="K114"/>
      <c r="L114"/>
      <c r="M114"/>
      <c r="N114"/>
      <c r="P114"/>
      <c r="Q114"/>
      <c r="R114"/>
      <c r="S114"/>
      <c r="U114"/>
      <c r="V114"/>
      <c r="W114"/>
      <c r="X114"/>
    </row>
    <row r="115" spans="1:24" x14ac:dyDescent="0.25">
      <c r="A115"/>
      <c r="B115"/>
      <c r="C115"/>
      <c r="D115"/>
      <c r="F115"/>
      <c r="G115"/>
      <c r="H115"/>
      <c r="I115"/>
      <c r="K115"/>
      <c r="L115"/>
      <c r="M115"/>
      <c r="N115"/>
      <c r="P115"/>
      <c r="Q115"/>
      <c r="R115"/>
      <c r="S115"/>
      <c r="U115"/>
      <c r="V115"/>
      <c r="W115"/>
      <c r="X115"/>
    </row>
    <row r="116" spans="1:24" x14ac:dyDescent="0.25">
      <c r="A116"/>
      <c r="B116"/>
      <c r="C116"/>
      <c r="D116"/>
      <c r="F116"/>
      <c r="G116"/>
      <c r="H116"/>
      <c r="I116"/>
      <c r="K116"/>
      <c r="L116"/>
      <c r="M116"/>
      <c r="N116"/>
      <c r="P116"/>
      <c r="Q116"/>
      <c r="R116"/>
      <c r="S116"/>
      <c r="U116"/>
      <c r="V116"/>
      <c r="W116"/>
      <c r="X116"/>
    </row>
    <row r="117" spans="1:24" x14ac:dyDescent="0.25">
      <c r="A117"/>
      <c r="B117"/>
      <c r="C117"/>
      <c r="D117"/>
      <c r="F117"/>
      <c r="G117"/>
      <c r="H117"/>
      <c r="I117"/>
      <c r="K117"/>
      <c r="L117"/>
      <c r="M117"/>
      <c r="N117"/>
      <c r="P117"/>
      <c r="Q117"/>
      <c r="R117"/>
      <c r="S117"/>
      <c r="U117"/>
      <c r="V117"/>
      <c r="W117"/>
      <c r="X117"/>
    </row>
    <row r="118" spans="1:24" x14ac:dyDescent="0.25">
      <c r="A118"/>
      <c r="B118"/>
      <c r="C118"/>
      <c r="D118"/>
      <c r="F118"/>
      <c r="G118"/>
      <c r="H118"/>
      <c r="I118"/>
      <c r="K118"/>
      <c r="L118"/>
      <c r="M118"/>
      <c r="N118"/>
      <c r="P118"/>
      <c r="Q118"/>
      <c r="R118"/>
      <c r="S118"/>
      <c r="U118"/>
      <c r="V118"/>
      <c r="W118"/>
      <c r="X118"/>
    </row>
    <row r="119" spans="1:24" x14ac:dyDescent="0.25">
      <c r="A119"/>
      <c r="B119"/>
      <c r="C119"/>
      <c r="D119"/>
      <c r="F119"/>
      <c r="G119"/>
      <c r="H119"/>
      <c r="I119"/>
      <c r="K119"/>
      <c r="L119"/>
      <c r="M119"/>
      <c r="N119"/>
      <c r="P119"/>
      <c r="Q119"/>
      <c r="R119"/>
      <c r="S119"/>
      <c r="U119"/>
      <c r="V119"/>
      <c r="W119"/>
      <c r="X119"/>
    </row>
    <row r="120" spans="1:24" x14ac:dyDescent="0.25">
      <c r="A120"/>
      <c r="B120"/>
      <c r="C120"/>
      <c r="D120"/>
      <c r="F120"/>
      <c r="G120"/>
      <c r="H120"/>
      <c r="I120"/>
      <c r="K120"/>
      <c r="L120"/>
      <c r="M120"/>
      <c r="N120"/>
      <c r="P120"/>
      <c r="Q120"/>
      <c r="R120"/>
      <c r="S120"/>
      <c r="U120"/>
      <c r="V120"/>
      <c r="W120"/>
      <c r="X120"/>
    </row>
    <row r="121" spans="1:24" x14ac:dyDescent="0.25">
      <c r="A121"/>
      <c r="B121"/>
      <c r="C121"/>
      <c r="D121"/>
      <c r="F121"/>
      <c r="G121"/>
      <c r="H121"/>
      <c r="I121"/>
      <c r="K121"/>
      <c r="L121"/>
      <c r="M121"/>
      <c r="N121"/>
      <c r="P121"/>
      <c r="Q121"/>
      <c r="R121"/>
      <c r="S121"/>
      <c r="U121"/>
      <c r="V121"/>
      <c r="W121"/>
      <c r="X121"/>
    </row>
    <row r="122" spans="1:24" x14ac:dyDescent="0.25">
      <c r="A122"/>
      <c r="B122"/>
      <c r="C122"/>
      <c r="D122"/>
      <c r="F122"/>
      <c r="G122"/>
      <c r="H122"/>
      <c r="I122"/>
      <c r="K122"/>
      <c r="L122"/>
      <c r="M122"/>
      <c r="N122"/>
      <c r="P122"/>
      <c r="Q122"/>
      <c r="R122"/>
      <c r="S122"/>
      <c r="U122"/>
      <c r="V122"/>
      <c r="W122"/>
      <c r="X122"/>
    </row>
    <row r="123" spans="1:24" x14ac:dyDescent="0.25">
      <c r="A123"/>
      <c r="B123"/>
      <c r="C123"/>
      <c r="D123"/>
      <c r="F123"/>
      <c r="G123"/>
      <c r="H123"/>
      <c r="I123"/>
      <c r="K123"/>
      <c r="L123"/>
      <c r="M123"/>
      <c r="N123"/>
      <c r="P123"/>
      <c r="Q123"/>
      <c r="R123"/>
      <c r="S123"/>
      <c r="U123"/>
      <c r="V123"/>
      <c r="W123"/>
      <c r="X123"/>
    </row>
    <row r="124" spans="1:24" x14ac:dyDescent="0.25">
      <c r="A124"/>
      <c r="B124"/>
      <c r="C124"/>
      <c r="D124"/>
      <c r="F124"/>
      <c r="G124"/>
      <c r="H124"/>
      <c r="I124"/>
      <c r="K124"/>
      <c r="L124"/>
      <c r="M124"/>
      <c r="N124"/>
      <c r="P124"/>
      <c r="Q124"/>
      <c r="R124"/>
      <c r="S124"/>
      <c r="U124"/>
      <c r="V124"/>
      <c r="W124"/>
      <c r="X124"/>
    </row>
    <row r="125" spans="1:24" x14ac:dyDescent="0.25">
      <c r="A125"/>
      <c r="B125"/>
      <c r="C125"/>
      <c r="D125"/>
      <c r="F125"/>
      <c r="G125"/>
      <c r="H125"/>
      <c r="I125"/>
      <c r="K125"/>
      <c r="L125"/>
      <c r="M125"/>
      <c r="N125"/>
      <c r="P125"/>
      <c r="Q125"/>
      <c r="R125"/>
      <c r="S125"/>
      <c r="U125"/>
      <c r="V125"/>
      <c r="W125"/>
      <c r="X125"/>
    </row>
    <row r="126" spans="1:24" x14ac:dyDescent="0.25">
      <c r="A126"/>
      <c r="B126"/>
      <c r="C126"/>
      <c r="D126"/>
      <c r="F126"/>
      <c r="G126"/>
      <c r="H126"/>
      <c r="I126"/>
      <c r="K126"/>
      <c r="L126"/>
      <c r="M126"/>
      <c r="N126"/>
      <c r="P126"/>
      <c r="Q126"/>
      <c r="R126"/>
      <c r="S126"/>
      <c r="U126"/>
      <c r="V126"/>
      <c r="W126"/>
      <c r="X126"/>
    </row>
    <row r="127" spans="1:24" x14ac:dyDescent="0.25">
      <c r="A127"/>
      <c r="B127"/>
      <c r="C127"/>
      <c r="D127"/>
      <c r="F127"/>
      <c r="G127"/>
      <c r="H127"/>
      <c r="I127"/>
      <c r="K127"/>
      <c r="L127"/>
      <c r="M127"/>
      <c r="N127"/>
      <c r="P127"/>
      <c r="Q127"/>
      <c r="R127"/>
      <c r="S127"/>
      <c r="U127"/>
      <c r="V127"/>
      <c r="W127"/>
      <c r="X127"/>
    </row>
    <row r="128" spans="1:24" x14ac:dyDescent="0.25">
      <c r="A128"/>
      <c r="B128"/>
      <c r="C128"/>
      <c r="D128"/>
      <c r="F128"/>
      <c r="G128"/>
      <c r="H128"/>
      <c r="I128"/>
      <c r="K128"/>
      <c r="L128"/>
      <c r="M128"/>
      <c r="N128"/>
      <c r="P128"/>
      <c r="Q128"/>
      <c r="R128"/>
      <c r="S128"/>
      <c r="U128"/>
      <c r="V128"/>
      <c r="W128"/>
      <c r="X128"/>
    </row>
    <row r="129" spans="1:24" x14ac:dyDescent="0.25">
      <c r="A129"/>
      <c r="B129"/>
      <c r="C129"/>
      <c r="D129"/>
      <c r="F129"/>
      <c r="G129"/>
      <c r="H129"/>
      <c r="I129"/>
      <c r="K129"/>
      <c r="L129"/>
      <c r="M129"/>
      <c r="N129"/>
      <c r="P129"/>
      <c r="Q129"/>
      <c r="R129"/>
      <c r="S129"/>
      <c r="U129"/>
      <c r="V129"/>
      <c r="W129"/>
      <c r="X129"/>
    </row>
    <row r="130" spans="1:24" x14ac:dyDescent="0.25">
      <c r="A130"/>
      <c r="B130"/>
      <c r="C130"/>
      <c r="D130"/>
      <c r="F130"/>
      <c r="G130"/>
      <c r="H130"/>
      <c r="I130"/>
      <c r="K130"/>
      <c r="L130"/>
      <c r="M130"/>
      <c r="N130"/>
      <c r="P130"/>
      <c r="Q130"/>
      <c r="R130"/>
      <c r="S130"/>
      <c r="U130"/>
      <c r="V130"/>
      <c r="W130"/>
      <c r="X130"/>
    </row>
    <row r="131" spans="1:24" x14ac:dyDescent="0.25">
      <c r="A131"/>
      <c r="B131"/>
      <c r="C131"/>
      <c r="D131"/>
      <c r="F131"/>
      <c r="G131"/>
      <c r="H131"/>
      <c r="I131"/>
      <c r="K131"/>
      <c r="L131"/>
      <c r="M131"/>
      <c r="N131"/>
      <c r="P131"/>
      <c r="Q131"/>
      <c r="R131"/>
      <c r="S131"/>
      <c r="U131"/>
      <c r="V131"/>
      <c r="W131"/>
      <c r="X131"/>
    </row>
    <row r="132" spans="1:24" x14ac:dyDescent="0.25">
      <c r="A132"/>
      <c r="B132"/>
      <c r="C132"/>
      <c r="D132"/>
      <c r="F132"/>
      <c r="G132"/>
      <c r="H132"/>
      <c r="I132"/>
      <c r="K132"/>
      <c r="L132"/>
      <c r="M132"/>
      <c r="N132"/>
      <c r="P132"/>
      <c r="Q132"/>
      <c r="R132"/>
      <c r="S132"/>
      <c r="U132"/>
      <c r="V132"/>
      <c r="W132"/>
      <c r="X132"/>
    </row>
    <row r="133" spans="1:24" x14ac:dyDescent="0.25">
      <c r="A133"/>
      <c r="B133"/>
      <c r="C133"/>
      <c r="D133"/>
      <c r="F133"/>
      <c r="G133"/>
      <c r="H133"/>
      <c r="I133"/>
      <c r="K133"/>
      <c r="L133"/>
      <c r="M133"/>
      <c r="N133"/>
      <c r="P133"/>
      <c r="Q133"/>
      <c r="R133"/>
      <c r="S133"/>
      <c r="U133"/>
      <c r="V133"/>
      <c r="W133"/>
      <c r="X133"/>
    </row>
    <row r="134" spans="1:24" x14ac:dyDescent="0.25">
      <c r="A134"/>
      <c r="B134"/>
      <c r="C134"/>
      <c r="D134"/>
      <c r="F134"/>
      <c r="G134"/>
      <c r="H134"/>
      <c r="I134"/>
      <c r="K134"/>
      <c r="L134"/>
      <c r="M134"/>
      <c r="N134"/>
      <c r="P134"/>
      <c r="Q134"/>
      <c r="R134"/>
      <c r="S134"/>
      <c r="U134"/>
      <c r="V134"/>
      <c r="W134"/>
      <c r="X134"/>
    </row>
    <row r="135" spans="1:24" x14ac:dyDescent="0.25">
      <c r="A135"/>
      <c r="B135"/>
      <c r="C135"/>
      <c r="D135"/>
      <c r="F135"/>
      <c r="G135"/>
      <c r="H135"/>
      <c r="I135"/>
      <c r="K135"/>
      <c r="L135"/>
      <c r="M135"/>
      <c r="N135"/>
      <c r="P135"/>
      <c r="Q135"/>
      <c r="R135"/>
      <c r="S135"/>
      <c r="U135"/>
      <c r="V135"/>
      <c r="W135"/>
      <c r="X135"/>
    </row>
    <row r="136" spans="1:24" x14ac:dyDescent="0.25">
      <c r="A136"/>
      <c r="B136"/>
      <c r="C136"/>
      <c r="D136"/>
      <c r="F136"/>
      <c r="G136"/>
      <c r="H136"/>
      <c r="I136"/>
      <c r="K136"/>
      <c r="L136"/>
      <c r="M136"/>
      <c r="N136"/>
      <c r="P136"/>
      <c r="Q136"/>
      <c r="R136"/>
      <c r="S136"/>
      <c r="U136"/>
      <c r="V136"/>
      <c r="W136"/>
      <c r="X136"/>
    </row>
    <row r="137" spans="1:24" x14ac:dyDescent="0.25">
      <c r="A137"/>
      <c r="B137"/>
      <c r="C137"/>
      <c r="D137"/>
      <c r="F137"/>
      <c r="G137"/>
      <c r="H137"/>
      <c r="I137"/>
      <c r="K137"/>
      <c r="L137"/>
      <c r="M137"/>
      <c r="N137"/>
      <c r="P137"/>
      <c r="Q137"/>
      <c r="R137"/>
      <c r="S137"/>
      <c r="U137"/>
      <c r="V137"/>
      <c r="W137"/>
      <c r="X137"/>
    </row>
    <row r="138" spans="1:24" x14ac:dyDescent="0.25">
      <c r="A138"/>
      <c r="B138"/>
      <c r="C138"/>
      <c r="D138"/>
      <c r="F138"/>
      <c r="G138"/>
      <c r="H138"/>
      <c r="I138"/>
      <c r="K138"/>
      <c r="L138"/>
      <c r="M138"/>
      <c r="N138"/>
      <c r="P138"/>
      <c r="Q138"/>
      <c r="R138"/>
      <c r="S138"/>
      <c r="U138"/>
      <c r="V138"/>
      <c r="W138"/>
      <c r="X138"/>
    </row>
    <row r="139" spans="1:24" x14ac:dyDescent="0.25">
      <c r="A139"/>
      <c r="B139"/>
      <c r="C139"/>
      <c r="D139"/>
      <c r="F139"/>
      <c r="G139"/>
      <c r="H139"/>
      <c r="I139"/>
      <c r="K139"/>
      <c r="L139"/>
      <c r="M139"/>
      <c r="N139"/>
      <c r="P139"/>
      <c r="Q139"/>
      <c r="R139"/>
      <c r="S139"/>
      <c r="U139"/>
      <c r="V139"/>
      <c r="W139"/>
      <c r="X139"/>
    </row>
    <row r="140" spans="1:24" x14ac:dyDescent="0.25">
      <c r="A140"/>
      <c r="B140"/>
      <c r="C140"/>
      <c r="D140"/>
      <c r="F140"/>
      <c r="G140"/>
      <c r="H140"/>
      <c r="I140"/>
      <c r="K140"/>
      <c r="L140"/>
      <c r="M140"/>
      <c r="N140"/>
      <c r="P140"/>
      <c r="Q140"/>
      <c r="R140"/>
      <c r="S140"/>
      <c r="U140"/>
      <c r="V140"/>
      <c r="W140"/>
      <c r="X140"/>
    </row>
    <row r="141" spans="1:24" x14ac:dyDescent="0.25">
      <c r="A141"/>
      <c r="B141"/>
      <c r="C141"/>
      <c r="D141"/>
      <c r="F141"/>
      <c r="G141"/>
      <c r="H141"/>
      <c r="I141"/>
      <c r="K141"/>
      <c r="L141"/>
      <c r="M141"/>
      <c r="N141"/>
      <c r="P141"/>
      <c r="Q141"/>
      <c r="R141"/>
      <c r="S141"/>
      <c r="U141"/>
      <c r="V141"/>
      <c r="W141"/>
      <c r="X141"/>
    </row>
    <row r="142" spans="1:24" x14ac:dyDescent="0.25">
      <c r="A142"/>
      <c r="B142"/>
      <c r="C142"/>
      <c r="D142"/>
      <c r="F142"/>
      <c r="G142"/>
      <c r="H142"/>
      <c r="I142"/>
      <c r="K142"/>
      <c r="L142"/>
      <c r="M142"/>
      <c r="N142"/>
      <c r="P142"/>
      <c r="Q142"/>
      <c r="R142"/>
      <c r="S142"/>
      <c r="U142"/>
      <c r="V142"/>
      <c r="W142"/>
      <c r="X142"/>
    </row>
    <row r="143" spans="1:24" x14ac:dyDescent="0.25">
      <c r="A143"/>
      <c r="B143"/>
      <c r="C143"/>
      <c r="D143"/>
      <c r="F143"/>
      <c r="G143"/>
      <c r="H143"/>
      <c r="I143"/>
      <c r="K143"/>
      <c r="L143"/>
      <c r="M143"/>
      <c r="N143"/>
      <c r="P143"/>
      <c r="Q143"/>
      <c r="R143"/>
      <c r="S143"/>
      <c r="U143"/>
      <c r="V143"/>
      <c r="W143"/>
      <c r="X143"/>
    </row>
    <row r="144" spans="1:24" x14ac:dyDescent="0.25">
      <c r="A144"/>
      <c r="B144"/>
      <c r="C144"/>
      <c r="D144"/>
      <c r="F144"/>
      <c r="G144"/>
      <c r="H144"/>
      <c r="I144"/>
      <c r="K144"/>
      <c r="L144"/>
      <c r="M144"/>
      <c r="N144"/>
      <c r="P144"/>
      <c r="Q144"/>
      <c r="R144"/>
      <c r="S144"/>
      <c r="U144"/>
      <c r="V144"/>
      <c r="W144"/>
      <c r="X144"/>
    </row>
    <row r="145" spans="1:24" x14ac:dyDescent="0.25">
      <c r="A145"/>
      <c r="B145"/>
      <c r="C145"/>
      <c r="D145"/>
      <c r="F145"/>
      <c r="G145"/>
      <c r="H145"/>
      <c r="I145"/>
      <c r="K145"/>
      <c r="L145"/>
      <c r="M145"/>
      <c r="N145"/>
      <c r="P145"/>
      <c r="Q145"/>
      <c r="R145"/>
      <c r="S145"/>
      <c r="U145"/>
      <c r="V145"/>
      <c r="W145"/>
      <c r="X145"/>
    </row>
    <row r="146" spans="1:24" x14ac:dyDescent="0.25">
      <c r="A146"/>
      <c r="B146"/>
      <c r="C146"/>
      <c r="D146"/>
      <c r="F146"/>
      <c r="G146"/>
      <c r="H146"/>
      <c r="I146"/>
      <c r="K146"/>
      <c r="L146"/>
      <c r="M146"/>
      <c r="N146"/>
      <c r="P146"/>
      <c r="Q146"/>
      <c r="R146"/>
      <c r="S146"/>
      <c r="U146"/>
      <c r="V146"/>
      <c r="W146"/>
      <c r="X146"/>
    </row>
    <row r="147" spans="1:24" x14ac:dyDescent="0.25">
      <c r="A147"/>
      <c r="B147"/>
      <c r="C147"/>
      <c r="D147"/>
      <c r="F147"/>
      <c r="G147"/>
      <c r="H147"/>
      <c r="I147"/>
      <c r="K147"/>
      <c r="L147"/>
      <c r="M147"/>
      <c r="N147"/>
      <c r="P147"/>
      <c r="Q147"/>
      <c r="R147"/>
      <c r="S147"/>
      <c r="U147"/>
      <c r="V147"/>
      <c r="W147"/>
      <c r="X147"/>
    </row>
    <row r="148" spans="1:24" x14ac:dyDescent="0.25">
      <c r="A148"/>
      <c r="B148"/>
      <c r="C148"/>
      <c r="D148"/>
      <c r="F148"/>
      <c r="G148"/>
      <c r="H148"/>
      <c r="I148"/>
      <c r="K148"/>
      <c r="L148"/>
      <c r="M148"/>
      <c r="N148"/>
      <c r="P148"/>
      <c r="Q148"/>
      <c r="R148"/>
      <c r="S148"/>
      <c r="U148"/>
      <c r="V148"/>
      <c r="W148"/>
      <c r="X148"/>
    </row>
    <row r="149" spans="1:24" x14ac:dyDescent="0.25">
      <c r="A149"/>
      <c r="B149"/>
      <c r="C149"/>
      <c r="D149"/>
      <c r="F149"/>
      <c r="G149"/>
      <c r="H149"/>
      <c r="I149"/>
      <c r="K149"/>
      <c r="L149"/>
      <c r="M149"/>
      <c r="N149"/>
      <c r="P149"/>
      <c r="Q149"/>
      <c r="R149"/>
      <c r="S149"/>
      <c r="U149"/>
      <c r="V149"/>
      <c r="W149"/>
      <c r="X149"/>
    </row>
    <row r="150" spans="1:24" x14ac:dyDescent="0.25">
      <c r="A150"/>
      <c r="B150"/>
      <c r="C150"/>
      <c r="D150"/>
      <c r="F150"/>
      <c r="G150"/>
      <c r="H150"/>
      <c r="I150"/>
      <c r="K150"/>
      <c r="L150"/>
      <c r="M150"/>
      <c r="N150"/>
      <c r="P150"/>
      <c r="Q150"/>
      <c r="R150"/>
      <c r="S150"/>
      <c r="U150"/>
      <c r="V150"/>
      <c r="W150"/>
      <c r="X150"/>
    </row>
    <row r="151" spans="1:24" x14ac:dyDescent="0.25">
      <c r="A151"/>
      <c r="B151"/>
      <c r="C151"/>
      <c r="D151"/>
      <c r="F151"/>
      <c r="G151"/>
      <c r="H151"/>
      <c r="I151"/>
      <c r="K151"/>
      <c r="L151"/>
      <c r="M151"/>
      <c r="N151"/>
      <c r="P151"/>
      <c r="Q151"/>
      <c r="R151"/>
      <c r="S151"/>
      <c r="U151"/>
      <c r="V151"/>
      <c r="W151"/>
      <c r="X151"/>
    </row>
    <row r="152" spans="1:24" x14ac:dyDescent="0.25">
      <c r="A152"/>
      <c r="B152"/>
      <c r="C152"/>
      <c r="D152"/>
      <c r="F152"/>
      <c r="G152"/>
      <c r="H152"/>
      <c r="I152"/>
      <c r="K152"/>
      <c r="L152"/>
      <c r="M152"/>
      <c r="N152"/>
      <c r="P152"/>
      <c r="Q152"/>
      <c r="R152"/>
      <c r="S152"/>
      <c r="U152"/>
      <c r="V152"/>
      <c r="W152"/>
      <c r="X152"/>
    </row>
    <row r="153" spans="1:24" x14ac:dyDescent="0.25">
      <c r="A153"/>
      <c r="B153"/>
      <c r="C153"/>
      <c r="D153"/>
      <c r="F153"/>
      <c r="G153"/>
      <c r="H153"/>
      <c r="I153"/>
      <c r="K153"/>
      <c r="L153"/>
      <c r="M153"/>
      <c r="N153"/>
      <c r="P153"/>
      <c r="Q153"/>
      <c r="R153"/>
      <c r="S153"/>
      <c r="U153"/>
      <c r="V153"/>
      <c r="W153"/>
      <c r="X153"/>
    </row>
    <row r="154" spans="1:24" x14ac:dyDescent="0.25">
      <c r="A154"/>
      <c r="B154"/>
      <c r="C154"/>
      <c r="D154"/>
      <c r="F154"/>
      <c r="G154"/>
      <c r="H154"/>
      <c r="I154"/>
      <c r="K154"/>
      <c r="L154"/>
      <c r="M154"/>
      <c r="N154"/>
      <c r="P154"/>
      <c r="Q154"/>
      <c r="R154"/>
      <c r="S154"/>
      <c r="U154"/>
      <c r="V154"/>
      <c r="W154"/>
      <c r="X154"/>
    </row>
    <row r="155" spans="1:24" x14ac:dyDescent="0.25">
      <c r="A155"/>
      <c r="B155"/>
      <c r="C155"/>
      <c r="D155"/>
      <c r="F155"/>
      <c r="G155"/>
      <c r="H155"/>
      <c r="I155"/>
      <c r="K155"/>
      <c r="L155"/>
      <c r="M155"/>
      <c r="N155"/>
      <c r="P155"/>
      <c r="Q155"/>
      <c r="R155"/>
      <c r="S155"/>
      <c r="U155"/>
      <c r="V155"/>
      <c r="W155"/>
      <c r="X155"/>
    </row>
    <row r="156" spans="1:24" x14ac:dyDescent="0.25">
      <c r="A156"/>
      <c r="B156"/>
      <c r="C156"/>
      <c r="D156"/>
      <c r="F156"/>
      <c r="G156"/>
      <c r="H156"/>
      <c r="I156"/>
      <c r="K156"/>
      <c r="L156"/>
      <c r="M156"/>
      <c r="N156"/>
      <c r="P156"/>
      <c r="Q156"/>
      <c r="R156"/>
      <c r="S156"/>
      <c r="U156"/>
      <c r="V156"/>
      <c r="W156"/>
      <c r="X156"/>
    </row>
    <row r="157" spans="1:24" x14ac:dyDescent="0.25">
      <c r="A157"/>
      <c r="B157"/>
      <c r="C157"/>
      <c r="D157"/>
      <c r="F157"/>
      <c r="G157"/>
      <c r="H157"/>
      <c r="I157"/>
      <c r="K157"/>
      <c r="L157"/>
      <c r="M157"/>
      <c r="N157"/>
      <c r="P157"/>
      <c r="Q157"/>
      <c r="R157"/>
      <c r="S157"/>
      <c r="U157"/>
      <c r="V157"/>
      <c r="W157"/>
      <c r="X157"/>
    </row>
    <row r="158" spans="1:24" x14ac:dyDescent="0.25">
      <c r="A158"/>
      <c r="B158"/>
      <c r="C158"/>
      <c r="D158"/>
      <c r="F158"/>
      <c r="G158"/>
      <c r="H158"/>
      <c r="I158"/>
      <c r="K158"/>
      <c r="L158"/>
      <c r="M158"/>
      <c r="N158"/>
      <c r="P158"/>
      <c r="Q158"/>
      <c r="R158"/>
      <c r="S158"/>
      <c r="U158"/>
      <c r="V158"/>
      <c r="W158"/>
      <c r="X158"/>
    </row>
    <row r="159" spans="1:24" x14ac:dyDescent="0.25">
      <c r="A159"/>
      <c r="B159"/>
      <c r="C159"/>
      <c r="D159"/>
      <c r="F159"/>
      <c r="G159"/>
      <c r="H159"/>
      <c r="I159"/>
      <c r="K159"/>
      <c r="L159"/>
      <c r="M159"/>
      <c r="N159"/>
      <c r="P159"/>
      <c r="Q159"/>
      <c r="R159"/>
      <c r="S159"/>
      <c r="U159"/>
      <c r="V159"/>
      <c r="W159"/>
      <c r="X159"/>
    </row>
    <row r="160" spans="1:24" x14ac:dyDescent="0.25">
      <c r="A160"/>
      <c r="B160"/>
      <c r="C160"/>
      <c r="D160"/>
      <c r="F160"/>
      <c r="G160"/>
      <c r="H160"/>
      <c r="I160"/>
      <c r="K160"/>
      <c r="L160"/>
      <c r="M160"/>
      <c r="N160"/>
      <c r="P160"/>
      <c r="Q160"/>
      <c r="R160"/>
      <c r="S160"/>
      <c r="U160"/>
      <c r="V160"/>
      <c r="W160"/>
      <c r="X160"/>
    </row>
    <row r="161" spans="1:24" x14ac:dyDescent="0.25">
      <c r="A161"/>
      <c r="B161"/>
      <c r="C161"/>
      <c r="D161"/>
      <c r="F161"/>
      <c r="G161"/>
      <c r="H161"/>
      <c r="I161"/>
      <c r="K161"/>
      <c r="L161"/>
      <c r="M161"/>
      <c r="N161"/>
      <c r="P161"/>
      <c r="Q161"/>
      <c r="R161"/>
      <c r="S161"/>
      <c r="U161"/>
      <c r="V161"/>
      <c r="W161"/>
      <c r="X161"/>
    </row>
    <row r="162" spans="1:24" x14ac:dyDescent="0.25">
      <c r="A162"/>
      <c r="B162"/>
      <c r="C162"/>
      <c r="D162"/>
      <c r="F162"/>
      <c r="G162"/>
      <c r="H162"/>
      <c r="I162"/>
      <c r="K162"/>
      <c r="L162"/>
      <c r="M162"/>
      <c r="N162"/>
      <c r="P162"/>
      <c r="Q162"/>
      <c r="R162"/>
      <c r="S162"/>
      <c r="U162"/>
      <c r="V162"/>
      <c r="W162"/>
      <c r="X162"/>
    </row>
    <row r="163" spans="1:24" x14ac:dyDescent="0.25">
      <c r="A163"/>
      <c r="B163"/>
      <c r="C163"/>
      <c r="D163"/>
      <c r="F163"/>
      <c r="G163"/>
      <c r="H163"/>
      <c r="I163"/>
      <c r="K163"/>
      <c r="L163"/>
      <c r="M163"/>
      <c r="N163"/>
      <c r="P163"/>
      <c r="Q163"/>
      <c r="R163"/>
      <c r="S163"/>
      <c r="U163"/>
      <c r="V163"/>
      <c r="W163"/>
      <c r="X163"/>
    </row>
    <row r="164" spans="1:24" x14ac:dyDescent="0.25">
      <c r="A164"/>
      <c r="B164"/>
      <c r="C164"/>
      <c r="D164"/>
      <c r="F164"/>
      <c r="G164"/>
      <c r="H164"/>
      <c r="I164"/>
      <c r="K164"/>
      <c r="L164"/>
      <c r="M164"/>
      <c r="N164"/>
      <c r="P164"/>
      <c r="Q164"/>
      <c r="R164"/>
      <c r="S164"/>
      <c r="U164"/>
      <c r="V164"/>
      <c r="W164"/>
      <c r="X164"/>
    </row>
    <row r="165" spans="1:24" x14ac:dyDescent="0.25">
      <c r="A165"/>
      <c r="B165"/>
      <c r="C165"/>
      <c r="D165"/>
      <c r="F165"/>
      <c r="G165"/>
      <c r="H165"/>
      <c r="I165"/>
      <c r="K165"/>
      <c r="L165"/>
      <c r="M165"/>
      <c r="N165"/>
      <c r="P165"/>
      <c r="Q165"/>
      <c r="R165"/>
      <c r="S165"/>
      <c r="U165"/>
      <c r="V165"/>
      <c r="W165"/>
      <c r="X165"/>
    </row>
    <row r="166" spans="1:24" x14ac:dyDescent="0.25">
      <c r="A166"/>
      <c r="B166"/>
      <c r="C166"/>
      <c r="D166"/>
      <c r="F166"/>
      <c r="G166"/>
      <c r="H166"/>
      <c r="I166"/>
      <c r="K166"/>
      <c r="L166"/>
      <c r="M166"/>
      <c r="N166"/>
      <c r="P166"/>
      <c r="Q166"/>
      <c r="R166"/>
      <c r="S166"/>
      <c r="U166"/>
      <c r="V166"/>
      <c r="W166"/>
      <c r="X166"/>
    </row>
    <row r="167" spans="1:24" x14ac:dyDescent="0.25">
      <c r="A167"/>
      <c r="B167"/>
      <c r="C167"/>
      <c r="D167"/>
      <c r="F167"/>
      <c r="G167"/>
      <c r="H167"/>
      <c r="I167"/>
      <c r="K167"/>
      <c r="L167"/>
      <c r="M167"/>
      <c r="N167"/>
      <c r="P167"/>
      <c r="Q167"/>
      <c r="R167"/>
      <c r="S167"/>
      <c r="U167"/>
      <c r="V167"/>
      <c r="W167"/>
      <c r="X167"/>
    </row>
    <row r="168" spans="1:24" x14ac:dyDescent="0.25">
      <c r="A168"/>
      <c r="B168"/>
      <c r="C168"/>
      <c r="D168"/>
      <c r="F168"/>
      <c r="G168"/>
      <c r="H168"/>
      <c r="I168"/>
      <c r="K168"/>
      <c r="L168"/>
      <c r="M168"/>
      <c r="N168"/>
      <c r="P168"/>
      <c r="Q168"/>
      <c r="R168"/>
      <c r="S168"/>
      <c r="U168"/>
      <c r="V168"/>
      <c r="W168"/>
      <c r="X168"/>
    </row>
    <row r="169" spans="1:24" x14ac:dyDescent="0.25">
      <c r="A169"/>
      <c r="B169"/>
      <c r="C169"/>
      <c r="D169"/>
      <c r="F169"/>
      <c r="G169"/>
      <c r="H169"/>
      <c r="I169"/>
      <c r="K169"/>
      <c r="L169"/>
      <c r="M169"/>
      <c r="N169"/>
      <c r="P169"/>
      <c r="Q169"/>
      <c r="R169"/>
      <c r="S169"/>
      <c r="U169"/>
      <c r="V169"/>
      <c r="W169"/>
      <c r="X169"/>
    </row>
    <row r="170" spans="1:24" x14ac:dyDescent="0.25">
      <c r="A170"/>
      <c r="B170"/>
      <c r="C170"/>
      <c r="D170"/>
      <c r="F170"/>
      <c r="G170"/>
      <c r="H170"/>
      <c r="I170"/>
      <c r="K170"/>
      <c r="L170"/>
      <c r="M170"/>
      <c r="N170"/>
      <c r="P170"/>
      <c r="Q170"/>
      <c r="R170"/>
      <c r="S170"/>
      <c r="U170"/>
      <c r="V170"/>
      <c r="W170"/>
      <c r="X170"/>
    </row>
    <row r="171" spans="1:24" x14ac:dyDescent="0.25">
      <c r="A171"/>
      <c r="B171"/>
      <c r="C171"/>
      <c r="D171"/>
      <c r="F171"/>
      <c r="G171"/>
      <c r="H171"/>
      <c r="I171"/>
      <c r="K171"/>
      <c r="L171"/>
      <c r="M171"/>
      <c r="N171"/>
      <c r="P171"/>
      <c r="Q171"/>
      <c r="R171"/>
      <c r="S171"/>
      <c r="U171"/>
      <c r="V171"/>
      <c r="W171"/>
      <c r="X171"/>
    </row>
    <row r="172" spans="1:24" x14ac:dyDescent="0.25">
      <c r="A172"/>
      <c r="B172"/>
      <c r="C172"/>
      <c r="D172"/>
      <c r="F172"/>
      <c r="G172"/>
      <c r="H172"/>
      <c r="I172"/>
      <c r="K172"/>
      <c r="L172"/>
      <c r="M172"/>
      <c r="N172"/>
      <c r="P172"/>
      <c r="Q172"/>
      <c r="R172"/>
      <c r="S172"/>
      <c r="U172"/>
      <c r="V172"/>
      <c r="W172"/>
      <c r="X172"/>
    </row>
    <row r="173" spans="1:24" x14ac:dyDescent="0.25">
      <c r="A173"/>
      <c r="B173"/>
      <c r="C173"/>
      <c r="D173"/>
      <c r="F173"/>
      <c r="G173"/>
      <c r="H173"/>
      <c r="I173"/>
      <c r="K173"/>
      <c r="L173"/>
      <c r="M173"/>
      <c r="N173"/>
      <c r="P173"/>
      <c r="Q173"/>
      <c r="R173"/>
      <c r="S173"/>
      <c r="U173"/>
      <c r="V173"/>
      <c r="W173"/>
      <c r="X173"/>
    </row>
    <row r="174" spans="1:24" x14ac:dyDescent="0.25">
      <c r="A174"/>
      <c r="B174"/>
      <c r="C174"/>
      <c r="D174"/>
      <c r="F174"/>
      <c r="G174"/>
      <c r="H174"/>
      <c r="I174"/>
      <c r="K174"/>
      <c r="L174"/>
      <c r="M174"/>
      <c r="N174"/>
      <c r="P174"/>
      <c r="Q174"/>
      <c r="R174"/>
      <c r="S174"/>
      <c r="U174"/>
      <c r="V174"/>
      <c r="W174"/>
      <c r="X174"/>
    </row>
    <row r="175" spans="1:24" x14ac:dyDescent="0.25">
      <c r="A175"/>
      <c r="B175"/>
      <c r="C175"/>
      <c r="D175"/>
      <c r="F175"/>
      <c r="G175"/>
      <c r="H175"/>
      <c r="I175"/>
      <c r="K175"/>
      <c r="L175"/>
      <c r="M175"/>
      <c r="N175"/>
      <c r="P175"/>
      <c r="Q175"/>
      <c r="R175"/>
      <c r="S175"/>
      <c r="U175"/>
      <c r="V175"/>
      <c r="W175"/>
      <c r="X175"/>
    </row>
    <row r="176" spans="1:24" x14ac:dyDescent="0.25">
      <c r="A176"/>
      <c r="B176"/>
      <c r="C176"/>
      <c r="D176"/>
      <c r="F176"/>
      <c r="G176"/>
      <c r="H176"/>
      <c r="I176"/>
      <c r="K176"/>
      <c r="L176"/>
      <c r="M176"/>
      <c r="N176"/>
      <c r="P176"/>
      <c r="Q176"/>
      <c r="R176"/>
      <c r="S176"/>
      <c r="U176"/>
      <c r="V176"/>
      <c r="W176"/>
      <c r="X176"/>
    </row>
    <row r="177" spans="1:24" x14ac:dyDescent="0.25">
      <c r="A177"/>
      <c r="B177"/>
      <c r="C177"/>
      <c r="D177"/>
      <c r="F177"/>
      <c r="G177"/>
      <c r="H177"/>
      <c r="I177"/>
      <c r="K177"/>
      <c r="L177"/>
      <c r="M177"/>
      <c r="N177"/>
      <c r="P177"/>
      <c r="Q177"/>
      <c r="R177"/>
      <c r="S177"/>
      <c r="U177"/>
      <c r="V177"/>
      <c r="W177"/>
      <c r="X177"/>
    </row>
    <row r="178" spans="1:24" x14ac:dyDescent="0.25">
      <c r="A178"/>
      <c r="B178"/>
      <c r="C178"/>
      <c r="D178"/>
      <c r="F178"/>
      <c r="G178"/>
      <c r="H178"/>
      <c r="I178"/>
      <c r="K178"/>
      <c r="L178"/>
      <c r="M178"/>
      <c r="N178"/>
      <c r="P178"/>
      <c r="Q178"/>
      <c r="R178"/>
      <c r="S178"/>
      <c r="U178"/>
      <c r="V178"/>
      <c r="W178"/>
      <c r="X178"/>
    </row>
    <row r="179" spans="1:24" x14ac:dyDescent="0.25">
      <c r="A179"/>
      <c r="B179"/>
      <c r="C179"/>
      <c r="D179"/>
      <c r="F179"/>
      <c r="G179"/>
      <c r="H179"/>
      <c r="I179"/>
      <c r="K179"/>
      <c r="L179"/>
      <c r="M179"/>
      <c r="N179"/>
      <c r="P179"/>
      <c r="Q179"/>
      <c r="R179"/>
      <c r="S179"/>
      <c r="U179"/>
      <c r="V179"/>
      <c r="W179"/>
      <c r="X179"/>
    </row>
    <row r="180" spans="1:24" x14ac:dyDescent="0.25">
      <c r="A180"/>
      <c r="B180"/>
      <c r="C180"/>
      <c r="D180"/>
      <c r="F180"/>
      <c r="G180"/>
      <c r="H180"/>
      <c r="I180"/>
      <c r="K180"/>
      <c r="L180"/>
      <c r="M180"/>
      <c r="N180"/>
      <c r="P180"/>
      <c r="Q180"/>
      <c r="R180"/>
      <c r="S180"/>
      <c r="U180"/>
      <c r="V180"/>
      <c r="W180"/>
      <c r="X180"/>
    </row>
    <row r="181" spans="1:24" x14ac:dyDescent="0.25">
      <c r="A181"/>
      <c r="B181"/>
      <c r="C181"/>
      <c r="D181"/>
      <c r="F181"/>
      <c r="G181"/>
      <c r="H181"/>
      <c r="I181"/>
      <c r="K181"/>
      <c r="L181"/>
      <c r="M181"/>
      <c r="N181"/>
      <c r="P181"/>
      <c r="Q181"/>
      <c r="R181"/>
      <c r="S181"/>
      <c r="U181"/>
      <c r="V181"/>
      <c r="W181"/>
      <c r="X181"/>
    </row>
    <row r="182" spans="1:24" x14ac:dyDescent="0.25">
      <c r="A182"/>
      <c r="B182"/>
      <c r="C182"/>
      <c r="D182"/>
      <c r="F182"/>
      <c r="G182"/>
      <c r="H182"/>
      <c r="I182"/>
      <c r="K182"/>
      <c r="L182"/>
      <c r="M182"/>
      <c r="N182"/>
      <c r="P182"/>
      <c r="Q182"/>
      <c r="R182"/>
      <c r="S182"/>
      <c r="U182"/>
      <c r="V182"/>
      <c r="W182"/>
      <c r="X182"/>
    </row>
    <row r="183" spans="1:24" x14ac:dyDescent="0.25">
      <c r="A183"/>
      <c r="B183"/>
      <c r="C183"/>
      <c r="D183"/>
      <c r="F183"/>
      <c r="G183"/>
      <c r="H183"/>
      <c r="I183"/>
      <c r="K183"/>
      <c r="L183"/>
      <c r="M183"/>
      <c r="N183"/>
      <c r="P183"/>
      <c r="Q183"/>
      <c r="R183"/>
      <c r="S183"/>
      <c r="U183"/>
      <c r="V183"/>
      <c r="W183"/>
      <c r="X183"/>
    </row>
    <row r="184" spans="1:24" x14ac:dyDescent="0.25">
      <c r="A184"/>
      <c r="B184"/>
      <c r="C184"/>
      <c r="D184"/>
      <c r="F184"/>
      <c r="G184"/>
      <c r="H184"/>
      <c r="I184"/>
      <c r="K184"/>
      <c r="L184"/>
      <c r="M184"/>
      <c r="N184"/>
      <c r="P184"/>
      <c r="Q184"/>
      <c r="R184"/>
      <c r="S184"/>
      <c r="U184"/>
      <c r="V184"/>
      <c r="W184"/>
      <c r="X184"/>
    </row>
    <row r="185" spans="1:24" x14ac:dyDescent="0.25">
      <c r="A185"/>
      <c r="B185"/>
      <c r="C185"/>
      <c r="D185"/>
      <c r="F185"/>
      <c r="G185"/>
      <c r="H185"/>
      <c r="I185"/>
      <c r="K185"/>
      <c r="L185"/>
      <c r="M185"/>
      <c r="N185"/>
      <c r="P185"/>
      <c r="Q185"/>
      <c r="R185"/>
      <c r="S185"/>
      <c r="U185"/>
      <c r="V185"/>
      <c r="W185"/>
      <c r="X185"/>
    </row>
    <row r="186" spans="1:24" x14ac:dyDescent="0.25">
      <c r="A186"/>
      <c r="B186"/>
      <c r="C186"/>
      <c r="D186"/>
      <c r="F186"/>
      <c r="G186"/>
      <c r="H186"/>
      <c r="I186"/>
      <c r="K186"/>
      <c r="L186"/>
      <c r="M186"/>
      <c r="N186"/>
      <c r="P186"/>
      <c r="Q186"/>
      <c r="R186"/>
      <c r="S186"/>
      <c r="U186"/>
      <c r="V186"/>
      <c r="W186"/>
      <c r="X186"/>
    </row>
    <row r="187" spans="1:24" x14ac:dyDescent="0.25">
      <c r="A187"/>
      <c r="B187"/>
      <c r="C187"/>
      <c r="D187"/>
      <c r="F187"/>
      <c r="G187"/>
      <c r="H187"/>
      <c r="I187"/>
      <c r="K187"/>
      <c r="L187"/>
      <c r="M187"/>
      <c r="N187"/>
      <c r="P187"/>
      <c r="Q187"/>
      <c r="R187"/>
      <c r="S187"/>
      <c r="U187"/>
      <c r="V187"/>
      <c r="W187"/>
      <c r="X187"/>
    </row>
    <row r="188" spans="1:24" x14ac:dyDescent="0.25">
      <c r="A188"/>
      <c r="B188"/>
      <c r="C188"/>
      <c r="D188"/>
      <c r="F188"/>
      <c r="G188"/>
      <c r="H188"/>
      <c r="I188"/>
      <c r="K188"/>
      <c r="L188"/>
      <c r="M188"/>
      <c r="N188"/>
      <c r="P188"/>
      <c r="Q188"/>
      <c r="R188"/>
      <c r="S188"/>
      <c r="U188"/>
      <c r="V188"/>
      <c r="W188"/>
      <c r="X188"/>
    </row>
    <row r="189" spans="1:24" x14ac:dyDescent="0.25">
      <c r="A189"/>
      <c r="B189"/>
      <c r="C189"/>
      <c r="D189"/>
      <c r="F189"/>
      <c r="G189"/>
      <c r="H189"/>
      <c r="I189"/>
      <c r="K189"/>
      <c r="L189"/>
      <c r="M189"/>
      <c r="N189"/>
      <c r="P189"/>
      <c r="Q189"/>
      <c r="R189"/>
      <c r="S189"/>
      <c r="U189"/>
      <c r="V189"/>
      <c r="W189"/>
      <c r="X189"/>
    </row>
    <row r="190" spans="1:24" x14ac:dyDescent="0.25">
      <c r="A190"/>
      <c r="B190"/>
      <c r="C190"/>
      <c r="D190"/>
      <c r="F190"/>
      <c r="G190"/>
      <c r="H190"/>
      <c r="I190"/>
      <c r="K190"/>
      <c r="L190"/>
      <c r="M190"/>
      <c r="N190"/>
      <c r="P190"/>
      <c r="Q190"/>
      <c r="R190"/>
      <c r="S190"/>
      <c r="U190"/>
      <c r="V190"/>
      <c r="W190"/>
      <c r="X190"/>
    </row>
    <row r="191" spans="1:24" x14ac:dyDescent="0.25">
      <c r="A191"/>
      <c r="B191"/>
      <c r="C191"/>
      <c r="D191"/>
      <c r="F191"/>
      <c r="G191"/>
      <c r="H191"/>
      <c r="I191"/>
      <c r="K191"/>
      <c r="L191"/>
      <c r="M191"/>
      <c r="N191"/>
      <c r="P191"/>
      <c r="Q191"/>
      <c r="R191"/>
      <c r="S191"/>
      <c r="U191"/>
      <c r="V191"/>
      <c r="W191"/>
      <c r="X191"/>
    </row>
    <row r="192" spans="1:24" x14ac:dyDescent="0.25">
      <c r="A192"/>
      <c r="B192"/>
      <c r="C192"/>
      <c r="D192"/>
      <c r="F192"/>
      <c r="G192"/>
      <c r="H192"/>
      <c r="I192"/>
      <c r="K192"/>
      <c r="L192"/>
      <c r="M192"/>
      <c r="N192"/>
      <c r="P192"/>
      <c r="Q192"/>
      <c r="R192"/>
      <c r="S192"/>
      <c r="U192"/>
      <c r="V192"/>
      <c r="W192"/>
      <c r="X192"/>
    </row>
    <row r="193" spans="1:24" x14ac:dyDescent="0.25">
      <c r="A193"/>
      <c r="B193"/>
      <c r="C193"/>
      <c r="D193"/>
      <c r="F193"/>
      <c r="G193"/>
      <c r="H193"/>
      <c r="I193"/>
      <c r="K193"/>
      <c r="L193"/>
      <c r="M193"/>
      <c r="N193"/>
      <c r="P193"/>
      <c r="Q193"/>
      <c r="R193"/>
      <c r="S193"/>
      <c r="U193"/>
      <c r="V193"/>
      <c r="W193"/>
      <c r="X193"/>
    </row>
    <row r="194" spans="1:24" x14ac:dyDescent="0.25">
      <c r="A194"/>
      <c r="B194"/>
      <c r="C194"/>
      <c r="D194"/>
      <c r="F194"/>
      <c r="G194"/>
      <c r="H194"/>
      <c r="I194"/>
      <c r="K194"/>
      <c r="L194"/>
      <c r="M194"/>
      <c r="N194"/>
      <c r="P194"/>
      <c r="Q194"/>
      <c r="R194"/>
      <c r="S194"/>
      <c r="U194"/>
      <c r="V194"/>
      <c r="W194"/>
      <c r="X194"/>
    </row>
    <row r="195" spans="1:24" x14ac:dyDescent="0.25">
      <c r="A195"/>
      <c r="B195"/>
      <c r="C195"/>
      <c r="D195"/>
      <c r="F195"/>
      <c r="G195"/>
      <c r="H195"/>
      <c r="I195"/>
      <c r="K195"/>
      <c r="L195"/>
      <c r="M195"/>
      <c r="N195"/>
      <c r="P195"/>
      <c r="Q195"/>
      <c r="R195"/>
      <c r="S195"/>
      <c r="U195"/>
      <c r="V195"/>
      <c r="W195"/>
      <c r="X195"/>
    </row>
    <row r="196" spans="1:24" x14ac:dyDescent="0.25">
      <c r="A196"/>
      <c r="B196"/>
      <c r="C196"/>
      <c r="D196"/>
      <c r="F196"/>
      <c r="G196"/>
      <c r="H196"/>
      <c r="I196"/>
      <c r="K196"/>
      <c r="L196"/>
      <c r="M196"/>
      <c r="N196"/>
      <c r="P196"/>
      <c r="Q196"/>
      <c r="R196"/>
      <c r="S196"/>
      <c r="U196"/>
      <c r="V196"/>
      <c r="W196"/>
      <c r="X196"/>
    </row>
    <row r="197" spans="1:24" x14ac:dyDescent="0.25">
      <c r="A197"/>
      <c r="B197"/>
      <c r="C197"/>
      <c r="D197"/>
      <c r="F197"/>
      <c r="G197"/>
      <c r="H197"/>
      <c r="I197"/>
      <c r="K197"/>
      <c r="L197"/>
      <c r="M197"/>
      <c r="N197"/>
      <c r="P197"/>
      <c r="Q197"/>
      <c r="R197"/>
      <c r="S197"/>
      <c r="U197"/>
      <c r="V197"/>
      <c r="W197"/>
      <c r="X197"/>
    </row>
    <row r="198" spans="1:24" x14ac:dyDescent="0.25">
      <c r="A198"/>
      <c r="B198"/>
      <c r="C198"/>
      <c r="D198"/>
      <c r="F198"/>
      <c r="G198"/>
      <c r="H198"/>
      <c r="I198"/>
      <c r="K198"/>
      <c r="L198"/>
      <c r="M198"/>
      <c r="N198"/>
      <c r="P198"/>
      <c r="Q198"/>
      <c r="R198"/>
      <c r="S198"/>
      <c r="U198"/>
      <c r="V198"/>
      <c r="W198"/>
      <c r="X198"/>
    </row>
    <row r="199" spans="1:24" x14ac:dyDescent="0.25">
      <c r="A199"/>
      <c r="B199"/>
      <c r="C199"/>
      <c r="D199"/>
      <c r="F199"/>
      <c r="G199"/>
      <c r="H199"/>
      <c r="I199"/>
      <c r="K199"/>
      <c r="L199"/>
      <c r="M199"/>
      <c r="N199"/>
      <c r="P199"/>
      <c r="Q199"/>
      <c r="R199"/>
      <c r="S199"/>
      <c r="U199"/>
      <c r="V199"/>
      <c r="W199"/>
      <c r="X199"/>
    </row>
    <row r="200" spans="1:24" x14ac:dyDescent="0.25">
      <c r="A200"/>
      <c r="B200"/>
      <c r="C200"/>
      <c r="D200"/>
      <c r="F200"/>
      <c r="G200"/>
      <c r="H200"/>
      <c r="I200"/>
      <c r="K200"/>
      <c r="L200"/>
      <c r="M200"/>
      <c r="N200"/>
      <c r="P200"/>
      <c r="Q200"/>
      <c r="R200"/>
      <c r="S200"/>
      <c r="U200"/>
      <c r="V200"/>
      <c r="W200"/>
      <c r="X200"/>
    </row>
    <row r="201" spans="1:24" x14ac:dyDescent="0.25">
      <c r="A201"/>
      <c r="B201"/>
      <c r="C201"/>
      <c r="D201"/>
      <c r="F201"/>
      <c r="G201"/>
      <c r="H201"/>
      <c r="I201"/>
      <c r="K201"/>
      <c r="L201"/>
      <c r="M201"/>
      <c r="N201"/>
      <c r="P201"/>
      <c r="Q201"/>
      <c r="R201"/>
      <c r="S201"/>
      <c r="U201"/>
      <c r="V201"/>
      <c r="W201"/>
      <c r="X201"/>
    </row>
    <row r="202" spans="1:24" x14ac:dyDescent="0.25">
      <c r="A202"/>
      <c r="B202"/>
      <c r="C202"/>
      <c r="D202"/>
      <c r="F202"/>
      <c r="G202"/>
      <c r="H202"/>
      <c r="I202"/>
      <c r="K202"/>
      <c r="L202"/>
      <c r="M202"/>
      <c r="N202"/>
      <c r="P202"/>
      <c r="Q202"/>
      <c r="R202"/>
      <c r="S202"/>
      <c r="U202"/>
      <c r="V202"/>
      <c r="W202"/>
      <c r="X202"/>
    </row>
    <row r="203" spans="1:24" x14ac:dyDescent="0.25">
      <c r="A203"/>
      <c r="B203"/>
      <c r="C203"/>
      <c r="D203"/>
      <c r="F203"/>
      <c r="G203"/>
      <c r="H203"/>
      <c r="I203"/>
      <c r="K203"/>
      <c r="L203"/>
      <c r="M203"/>
      <c r="N203"/>
      <c r="P203"/>
      <c r="Q203"/>
      <c r="R203"/>
      <c r="S203"/>
      <c r="U203"/>
      <c r="V203"/>
      <c r="W203"/>
      <c r="X203"/>
    </row>
    <row r="204" spans="1:24" x14ac:dyDescent="0.25">
      <c r="A204"/>
      <c r="B204"/>
      <c r="C204"/>
      <c r="D204"/>
      <c r="F204"/>
      <c r="G204"/>
      <c r="H204"/>
      <c r="I204"/>
      <c r="K204"/>
      <c r="L204"/>
      <c r="M204"/>
      <c r="N204"/>
      <c r="P204"/>
      <c r="Q204"/>
      <c r="R204"/>
      <c r="S204"/>
      <c r="U204"/>
      <c r="V204"/>
      <c r="W204"/>
      <c r="X204"/>
    </row>
    <row r="205" spans="1:24" x14ac:dyDescent="0.25">
      <c r="A205"/>
      <c r="B205"/>
      <c r="C205"/>
      <c r="D205"/>
      <c r="F205"/>
      <c r="G205"/>
      <c r="H205"/>
      <c r="I205"/>
      <c r="K205"/>
      <c r="L205"/>
      <c r="M205"/>
      <c r="N205"/>
      <c r="P205"/>
      <c r="Q205"/>
      <c r="R205"/>
      <c r="S205"/>
      <c r="U205"/>
      <c r="V205"/>
      <c r="W205"/>
      <c r="X205"/>
    </row>
    <row r="206" spans="1:24" x14ac:dyDescent="0.25">
      <c r="A206"/>
      <c r="B206"/>
      <c r="C206"/>
      <c r="D206"/>
      <c r="F206"/>
      <c r="G206"/>
      <c r="H206"/>
      <c r="I206"/>
      <c r="K206"/>
      <c r="L206"/>
      <c r="M206"/>
      <c r="N206"/>
      <c r="P206"/>
      <c r="Q206"/>
      <c r="R206"/>
      <c r="S206"/>
      <c r="U206"/>
      <c r="V206"/>
      <c r="W206"/>
      <c r="X206"/>
    </row>
    <row r="207" spans="1:24" x14ac:dyDescent="0.25">
      <c r="A207"/>
      <c r="B207"/>
      <c r="C207"/>
      <c r="D207"/>
      <c r="F207"/>
      <c r="G207"/>
      <c r="H207"/>
      <c r="I207"/>
      <c r="K207"/>
      <c r="L207"/>
      <c r="M207"/>
      <c r="N207"/>
      <c r="P207"/>
      <c r="Q207"/>
      <c r="R207"/>
      <c r="S207"/>
      <c r="U207"/>
      <c r="V207"/>
      <c r="W207"/>
      <c r="X207"/>
    </row>
    <row r="208" spans="1:24" x14ac:dyDescent="0.25">
      <c r="A208"/>
      <c r="B208"/>
      <c r="C208"/>
      <c r="D208"/>
      <c r="F208"/>
      <c r="G208"/>
      <c r="H208"/>
      <c r="I208"/>
      <c r="K208"/>
      <c r="L208"/>
      <c r="M208"/>
      <c r="N208"/>
      <c r="P208"/>
      <c r="Q208"/>
      <c r="R208"/>
      <c r="S208"/>
      <c r="U208"/>
      <c r="V208"/>
      <c r="W208"/>
      <c r="X208"/>
    </row>
    <row r="209" spans="1:24" x14ac:dyDescent="0.25">
      <c r="A209"/>
      <c r="B209"/>
      <c r="C209"/>
      <c r="D209"/>
      <c r="F209"/>
      <c r="G209"/>
      <c r="H209"/>
      <c r="I209"/>
      <c r="K209"/>
      <c r="L209"/>
      <c r="M209"/>
      <c r="N209"/>
      <c r="P209"/>
      <c r="Q209"/>
      <c r="R209"/>
      <c r="S209"/>
      <c r="U209"/>
      <c r="V209"/>
      <c r="W209"/>
      <c r="X209"/>
    </row>
    <row r="210" spans="1:24" x14ac:dyDescent="0.25">
      <c r="A210"/>
      <c r="B210"/>
      <c r="C210"/>
      <c r="D210"/>
      <c r="F210"/>
      <c r="G210"/>
      <c r="H210"/>
      <c r="I210"/>
      <c r="K210"/>
      <c r="L210"/>
      <c r="M210"/>
      <c r="N210"/>
      <c r="P210"/>
      <c r="Q210"/>
      <c r="R210"/>
      <c r="S210"/>
      <c r="U210"/>
      <c r="V210"/>
      <c r="W210"/>
      <c r="X210"/>
    </row>
    <row r="211" spans="1:24" x14ac:dyDescent="0.25">
      <c r="A211"/>
      <c r="B211"/>
      <c r="C211"/>
      <c r="D211"/>
      <c r="F211"/>
      <c r="G211"/>
      <c r="H211"/>
      <c r="I211"/>
      <c r="K211"/>
      <c r="L211"/>
      <c r="M211"/>
      <c r="N211"/>
      <c r="P211"/>
      <c r="Q211"/>
      <c r="R211"/>
      <c r="S211"/>
      <c r="U211"/>
      <c r="V211"/>
      <c r="W211"/>
      <c r="X211"/>
    </row>
    <row r="212" spans="1:24" x14ac:dyDescent="0.25">
      <c r="A212"/>
      <c r="B212"/>
      <c r="C212"/>
      <c r="D212"/>
      <c r="F212"/>
      <c r="G212"/>
      <c r="H212"/>
      <c r="I212"/>
      <c r="K212"/>
      <c r="L212"/>
      <c r="M212"/>
      <c r="N212"/>
      <c r="P212"/>
      <c r="Q212"/>
      <c r="R212"/>
      <c r="S212"/>
      <c r="U212"/>
      <c r="V212"/>
      <c r="W212"/>
      <c r="X212"/>
    </row>
    <row r="213" spans="1:24" x14ac:dyDescent="0.25">
      <c r="A213"/>
      <c r="B213"/>
      <c r="C213"/>
      <c r="D213"/>
      <c r="F213"/>
      <c r="G213"/>
      <c r="H213"/>
      <c r="I213"/>
      <c r="K213"/>
      <c r="L213"/>
      <c r="M213"/>
      <c r="N213"/>
      <c r="P213"/>
      <c r="Q213"/>
      <c r="R213"/>
      <c r="S213"/>
      <c r="U213"/>
      <c r="V213"/>
      <c r="W213"/>
      <c r="X213"/>
    </row>
    <row r="214" spans="1:24" x14ac:dyDescent="0.25">
      <c r="A214"/>
      <c r="B214"/>
      <c r="C214"/>
      <c r="D214"/>
      <c r="F214"/>
      <c r="G214"/>
      <c r="H214"/>
      <c r="I214"/>
      <c r="K214"/>
      <c r="L214"/>
      <c r="M214"/>
      <c r="N214"/>
      <c r="P214"/>
      <c r="Q214"/>
      <c r="R214"/>
      <c r="S214"/>
      <c r="U214"/>
      <c r="V214"/>
      <c r="W214"/>
      <c r="X214"/>
    </row>
    <row r="215" spans="1:24" x14ac:dyDescent="0.25">
      <c r="A215"/>
      <c r="B215"/>
      <c r="C215"/>
      <c r="D215"/>
      <c r="F215"/>
      <c r="G215"/>
      <c r="H215"/>
      <c r="I215"/>
      <c r="K215"/>
      <c r="L215"/>
      <c r="M215"/>
      <c r="N215"/>
      <c r="P215"/>
      <c r="Q215"/>
      <c r="R215"/>
      <c r="S215"/>
      <c r="U215"/>
      <c r="V215"/>
      <c r="W215"/>
      <c r="X215"/>
    </row>
    <row r="216" spans="1:24" x14ac:dyDescent="0.25">
      <c r="A216"/>
      <c r="B216"/>
      <c r="C216"/>
      <c r="D216"/>
      <c r="F216"/>
      <c r="G216"/>
      <c r="H216"/>
      <c r="I216"/>
      <c r="K216"/>
      <c r="L216"/>
      <c r="M216"/>
      <c r="N216"/>
      <c r="P216"/>
      <c r="Q216"/>
      <c r="R216"/>
      <c r="S216"/>
      <c r="U216"/>
      <c r="V216"/>
      <c r="W216"/>
      <c r="X216"/>
    </row>
    <row r="217" spans="1:24" x14ac:dyDescent="0.25">
      <c r="A217"/>
      <c r="B217"/>
      <c r="C217"/>
      <c r="D217"/>
      <c r="F217"/>
      <c r="G217"/>
      <c r="H217"/>
      <c r="I217"/>
      <c r="K217"/>
      <c r="L217"/>
      <c r="M217"/>
      <c r="N217"/>
      <c r="P217"/>
      <c r="Q217"/>
      <c r="R217"/>
      <c r="S217"/>
      <c r="U217"/>
      <c r="V217"/>
      <c r="W217"/>
      <c r="X217"/>
    </row>
    <row r="218" spans="1:24" x14ac:dyDescent="0.25">
      <c r="A218"/>
      <c r="B218"/>
      <c r="C218"/>
      <c r="D218"/>
      <c r="F218"/>
      <c r="G218"/>
      <c r="H218"/>
      <c r="I218"/>
      <c r="K218"/>
      <c r="L218"/>
      <c r="M218"/>
      <c r="N218"/>
      <c r="P218"/>
      <c r="Q218"/>
      <c r="R218"/>
      <c r="S218"/>
      <c r="U218"/>
      <c r="V218"/>
      <c r="W218"/>
      <c r="X218"/>
    </row>
    <row r="219" spans="1:24" x14ac:dyDescent="0.25">
      <c r="A219"/>
      <c r="B219"/>
      <c r="C219"/>
      <c r="D219"/>
      <c r="F219"/>
      <c r="G219"/>
      <c r="H219"/>
      <c r="I219"/>
      <c r="K219"/>
      <c r="L219"/>
      <c r="M219"/>
      <c r="N219"/>
      <c r="P219"/>
      <c r="Q219"/>
      <c r="R219"/>
      <c r="S219"/>
      <c r="U219"/>
      <c r="V219"/>
      <c r="W219"/>
      <c r="X219"/>
    </row>
    <row r="220" spans="1:24" x14ac:dyDescent="0.25">
      <c r="A220"/>
      <c r="B220"/>
      <c r="C220"/>
      <c r="D220"/>
      <c r="F220"/>
      <c r="G220"/>
      <c r="H220"/>
      <c r="I220"/>
      <c r="K220"/>
      <c r="L220"/>
      <c r="M220"/>
      <c r="N220"/>
      <c r="P220"/>
      <c r="Q220"/>
      <c r="R220"/>
      <c r="S220"/>
      <c r="U220"/>
      <c r="V220"/>
      <c r="W220"/>
      <c r="X220"/>
    </row>
    <row r="221" spans="1:24" x14ac:dyDescent="0.25">
      <c r="A221"/>
      <c r="B221"/>
      <c r="C221"/>
      <c r="D221"/>
      <c r="F221"/>
      <c r="G221"/>
      <c r="H221"/>
      <c r="I221"/>
      <c r="K221"/>
      <c r="L221"/>
      <c r="M221"/>
      <c r="N221"/>
      <c r="P221"/>
      <c r="Q221"/>
      <c r="R221"/>
      <c r="S221"/>
      <c r="U221"/>
      <c r="V221"/>
      <c r="W221"/>
      <c r="X221"/>
    </row>
    <row r="222" spans="1:24" x14ac:dyDescent="0.25">
      <c r="A222"/>
      <c r="B222"/>
      <c r="C222"/>
      <c r="D222"/>
      <c r="F222"/>
      <c r="G222"/>
      <c r="H222"/>
      <c r="I222"/>
      <c r="K222"/>
      <c r="L222"/>
      <c r="M222"/>
      <c r="N222"/>
      <c r="P222"/>
      <c r="Q222"/>
      <c r="R222"/>
      <c r="S222"/>
      <c r="U222"/>
      <c r="V222"/>
      <c r="W222"/>
      <c r="X222"/>
    </row>
    <row r="223" spans="1:24" x14ac:dyDescent="0.25">
      <c r="A223"/>
      <c r="B223"/>
      <c r="C223"/>
      <c r="D223"/>
      <c r="F223"/>
      <c r="G223"/>
      <c r="H223"/>
      <c r="I223"/>
      <c r="K223"/>
      <c r="L223"/>
      <c r="M223"/>
      <c r="N223"/>
      <c r="P223"/>
      <c r="Q223"/>
      <c r="R223"/>
      <c r="S223"/>
      <c r="U223"/>
      <c r="V223"/>
      <c r="W223"/>
      <c r="X223"/>
    </row>
    <row r="224" spans="1:24" x14ac:dyDescent="0.25">
      <c r="A224"/>
      <c r="B224"/>
      <c r="C224"/>
      <c r="D224"/>
      <c r="F224"/>
      <c r="G224"/>
      <c r="H224"/>
      <c r="I224"/>
      <c r="K224"/>
      <c r="L224"/>
      <c r="M224"/>
      <c r="N224"/>
      <c r="P224"/>
      <c r="Q224"/>
      <c r="R224"/>
      <c r="S224"/>
      <c r="U224"/>
      <c r="V224"/>
      <c r="W224"/>
      <c r="X224"/>
    </row>
    <row r="225" spans="1:24" x14ac:dyDescent="0.25">
      <c r="A225"/>
      <c r="B225"/>
      <c r="C225"/>
      <c r="D225"/>
      <c r="F225"/>
      <c r="G225"/>
      <c r="H225"/>
      <c r="I225"/>
      <c r="K225"/>
      <c r="L225"/>
      <c r="M225"/>
      <c r="N225"/>
      <c r="P225"/>
      <c r="Q225"/>
      <c r="R225"/>
      <c r="S225"/>
      <c r="U225"/>
      <c r="V225"/>
      <c r="W225"/>
      <c r="X225"/>
    </row>
    <row r="226" spans="1:24" x14ac:dyDescent="0.25">
      <c r="A226"/>
      <c r="B226"/>
      <c r="C226"/>
      <c r="D226"/>
      <c r="F226"/>
      <c r="G226"/>
      <c r="H226"/>
      <c r="I226"/>
      <c r="K226"/>
      <c r="L226"/>
      <c r="M226"/>
      <c r="N226"/>
      <c r="P226"/>
      <c r="Q226"/>
      <c r="R226"/>
      <c r="S226"/>
      <c r="U226"/>
      <c r="V226"/>
      <c r="W226"/>
      <c r="X226"/>
    </row>
    <row r="227" spans="1:24" x14ac:dyDescent="0.25">
      <c r="A227"/>
      <c r="B227"/>
      <c r="C227"/>
      <c r="D227"/>
      <c r="F227"/>
      <c r="G227"/>
      <c r="H227"/>
      <c r="I227"/>
      <c r="K227"/>
      <c r="L227"/>
      <c r="M227"/>
      <c r="N227"/>
      <c r="P227"/>
      <c r="Q227"/>
      <c r="R227"/>
      <c r="S227"/>
      <c r="U227"/>
      <c r="V227"/>
      <c r="W227"/>
      <c r="X227"/>
    </row>
    <row r="228" spans="1:24" x14ac:dyDescent="0.25">
      <c r="A228"/>
      <c r="B228"/>
      <c r="C228"/>
      <c r="D228"/>
      <c r="F228"/>
      <c r="G228"/>
      <c r="H228"/>
      <c r="I228"/>
      <c r="K228"/>
      <c r="L228"/>
      <c r="M228"/>
      <c r="N228"/>
      <c r="P228"/>
      <c r="Q228"/>
      <c r="R228"/>
      <c r="S228"/>
      <c r="U228"/>
      <c r="V228"/>
      <c r="W228"/>
      <c r="X228"/>
    </row>
    <row r="229" spans="1:24" x14ac:dyDescent="0.25">
      <c r="A229"/>
      <c r="B229"/>
      <c r="C229"/>
      <c r="D229"/>
      <c r="F229"/>
      <c r="G229"/>
      <c r="H229"/>
      <c r="I229"/>
      <c r="K229"/>
      <c r="L229"/>
      <c r="M229"/>
      <c r="N229"/>
      <c r="P229"/>
      <c r="Q229"/>
      <c r="R229"/>
      <c r="S229"/>
      <c r="U229"/>
      <c r="V229"/>
      <c r="W229"/>
      <c r="X229"/>
    </row>
    <row r="230" spans="1:24" x14ac:dyDescent="0.25">
      <c r="A230"/>
      <c r="B230"/>
      <c r="C230"/>
      <c r="D230"/>
      <c r="F230"/>
      <c r="G230"/>
      <c r="H230"/>
      <c r="I230"/>
      <c r="K230"/>
      <c r="L230"/>
      <c r="M230"/>
      <c r="N230"/>
      <c r="P230"/>
      <c r="Q230"/>
      <c r="R230"/>
      <c r="S230"/>
      <c r="U230"/>
      <c r="V230"/>
      <c r="W230"/>
      <c r="X230"/>
    </row>
    <row r="231" spans="1:24" x14ac:dyDescent="0.25">
      <c r="A231"/>
      <c r="B231"/>
      <c r="C231"/>
      <c r="D231"/>
      <c r="F231"/>
      <c r="G231"/>
      <c r="H231"/>
      <c r="I231"/>
      <c r="K231"/>
      <c r="L231"/>
      <c r="M231"/>
      <c r="N231"/>
      <c r="P231"/>
      <c r="Q231"/>
      <c r="R231"/>
      <c r="S231"/>
      <c r="U231"/>
      <c r="V231"/>
      <c r="W231"/>
      <c r="X231"/>
    </row>
    <row r="232" spans="1:24" x14ac:dyDescent="0.25">
      <c r="A232"/>
      <c r="B232"/>
      <c r="C232"/>
      <c r="D232"/>
      <c r="F232"/>
      <c r="G232"/>
      <c r="H232"/>
      <c r="I232"/>
      <c r="K232"/>
      <c r="L232"/>
      <c r="M232"/>
      <c r="N232"/>
      <c r="P232"/>
      <c r="Q232"/>
      <c r="R232"/>
      <c r="S232"/>
      <c r="U232"/>
      <c r="V232"/>
      <c r="W232"/>
      <c r="X232"/>
    </row>
    <row r="233" spans="1:24" x14ac:dyDescent="0.25">
      <c r="A233"/>
      <c r="B233"/>
      <c r="C233"/>
      <c r="D233"/>
      <c r="F233"/>
      <c r="G233"/>
      <c r="H233"/>
      <c r="I233"/>
      <c r="K233"/>
      <c r="L233"/>
      <c r="M233"/>
      <c r="N233"/>
      <c r="P233"/>
      <c r="Q233"/>
      <c r="R233"/>
      <c r="S233"/>
      <c r="U233"/>
      <c r="V233"/>
      <c r="W233"/>
      <c r="X233"/>
    </row>
    <row r="234" spans="1:24" x14ac:dyDescent="0.25">
      <c r="A234"/>
      <c r="B234"/>
      <c r="C234"/>
      <c r="D234"/>
      <c r="F234"/>
      <c r="G234"/>
      <c r="H234"/>
      <c r="I234"/>
      <c r="K234"/>
      <c r="L234"/>
      <c r="M234"/>
      <c r="N234"/>
      <c r="P234"/>
      <c r="Q234"/>
      <c r="R234"/>
      <c r="S234"/>
      <c r="U234"/>
      <c r="V234"/>
      <c r="W234"/>
      <c r="X234"/>
    </row>
    <row r="235" spans="1:24" x14ac:dyDescent="0.25">
      <c r="A235"/>
      <c r="B235"/>
      <c r="C235"/>
      <c r="D235"/>
      <c r="F235"/>
      <c r="G235"/>
      <c r="H235"/>
      <c r="I235"/>
      <c r="K235"/>
      <c r="L235"/>
      <c r="M235"/>
      <c r="N235"/>
      <c r="P235"/>
      <c r="Q235"/>
      <c r="R235"/>
      <c r="S235"/>
      <c r="U235"/>
      <c r="V235"/>
      <c r="W235"/>
      <c r="X235"/>
    </row>
    <row r="236" spans="1:24" x14ac:dyDescent="0.25">
      <c r="A236"/>
      <c r="B236"/>
      <c r="C236"/>
      <c r="D236"/>
      <c r="F236"/>
      <c r="G236"/>
      <c r="H236"/>
      <c r="I236"/>
      <c r="K236"/>
      <c r="L236"/>
      <c r="M236"/>
      <c r="N236"/>
      <c r="P236"/>
      <c r="Q236"/>
      <c r="R236"/>
      <c r="S236"/>
      <c r="U236"/>
      <c r="V236"/>
      <c r="W236"/>
      <c r="X236"/>
    </row>
    <row r="237" spans="1:24" x14ac:dyDescent="0.25">
      <c r="A237"/>
      <c r="B237"/>
      <c r="C237"/>
      <c r="D237"/>
      <c r="F237"/>
      <c r="G237"/>
      <c r="H237"/>
      <c r="I237"/>
      <c r="K237"/>
      <c r="L237"/>
      <c r="M237"/>
      <c r="N237"/>
      <c r="P237"/>
      <c r="Q237"/>
      <c r="R237"/>
      <c r="S237"/>
      <c r="U237"/>
      <c r="V237"/>
      <c r="W237"/>
      <c r="X237"/>
    </row>
    <row r="238" spans="1:24" x14ac:dyDescent="0.25">
      <c r="A238"/>
      <c r="B238"/>
      <c r="C238"/>
      <c r="D238"/>
      <c r="F238"/>
      <c r="G238"/>
      <c r="H238"/>
      <c r="I238"/>
      <c r="K238"/>
      <c r="L238"/>
      <c r="M238"/>
      <c r="N238"/>
      <c r="P238"/>
      <c r="Q238"/>
      <c r="R238"/>
      <c r="S238"/>
      <c r="U238"/>
      <c r="V238"/>
      <c r="W238"/>
      <c r="X238"/>
    </row>
    <row r="239" spans="1:24" x14ac:dyDescent="0.25">
      <c r="A239"/>
      <c r="B239"/>
      <c r="C239"/>
      <c r="D239"/>
      <c r="F239"/>
      <c r="G239"/>
      <c r="H239"/>
      <c r="I239"/>
      <c r="K239"/>
      <c r="L239"/>
      <c r="M239"/>
      <c r="N239"/>
      <c r="P239"/>
      <c r="Q239"/>
      <c r="R239"/>
      <c r="S239"/>
      <c r="U239"/>
      <c r="V239"/>
      <c r="W239"/>
      <c r="X239"/>
    </row>
    <row r="240" spans="1:24" x14ac:dyDescent="0.25">
      <c r="A240"/>
      <c r="B240"/>
      <c r="C240"/>
      <c r="D240"/>
      <c r="F240"/>
      <c r="G240"/>
      <c r="H240"/>
      <c r="I240"/>
      <c r="K240"/>
      <c r="L240"/>
      <c r="M240"/>
      <c r="N240"/>
      <c r="P240"/>
      <c r="Q240"/>
      <c r="R240"/>
      <c r="S240"/>
      <c r="U240"/>
      <c r="V240"/>
      <c r="W240"/>
      <c r="X240"/>
    </row>
    <row r="241" spans="1:24" x14ac:dyDescent="0.25">
      <c r="A241"/>
      <c r="B241"/>
      <c r="C241"/>
      <c r="D241"/>
      <c r="F241"/>
      <c r="G241"/>
      <c r="H241"/>
      <c r="I241"/>
      <c r="K241"/>
      <c r="L241"/>
      <c r="M241"/>
      <c r="N241"/>
      <c r="P241"/>
      <c r="Q241"/>
      <c r="R241"/>
      <c r="S241"/>
      <c r="U241"/>
      <c r="V241"/>
      <c r="W241"/>
      <c r="X241"/>
    </row>
    <row r="242" spans="1:24" x14ac:dyDescent="0.25">
      <c r="A242"/>
      <c r="B242"/>
      <c r="C242"/>
      <c r="D242"/>
      <c r="F242"/>
      <c r="G242"/>
      <c r="H242"/>
      <c r="I242"/>
      <c r="K242"/>
      <c r="L242"/>
      <c r="M242"/>
      <c r="N242"/>
      <c r="P242"/>
      <c r="Q242"/>
      <c r="R242"/>
      <c r="S242"/>
      <c r="U242"/>
      <c r="V242"/>
      <c r="W242"/>
      <c r="X242"/>
    </row>
    <row r="243" spans="1:24" x14ac:dyDescent="0.25">
      <c r="A243"/>
      <c r="B243"/>
      <c r="C243"/>
      <c r="D243"/>
      <c r="F243"/>
      <c r="G243"/>
      <c r="H243"/>
      <c r="I243"/>
      <c r="K243"/>
      <c r="L243"/>
      <c r="M243"/>
      <c r="N243"/>
      <c r="P243"/>
      <c r="Q243"/>
      <c r="R243"/>
      <c r="S243"/>
      <c r="U243"/>
      <c r="V243"/>
      <c r="W243"/>
      <c r="X243"/>
    </row>
    <row r="244" spans="1:24" x14ac:dyDescent="0.25">
      <c r="A244"/>
      <c r="B244"/>
      <c r="C244"/>
      <c r="D244"/>
      <c r="F244"/>
      <c r="G244"/>
      <c r="H244"/>
      <c r="I244"/>
      <c r="K244"/>
      <c r="L244"/>
      <c r="M244"/>
      <c r="N244"/>
      <c r="P244"/>
      <c r="Q244"/>
      <c r="R244"/>
      <c r="S244"/>
      <c r="U244"/>
      <c r="V244"/>
      <c r="W244"/>
      <c r="X244"/>
    </row>
    <row r="245" spans="1:24" x14ac:dyDescent="0.25">
      <c r="A245"/>
      <c r="B245"/>
      <c r="C245"/>
      <c r="D245"/>
      <c r="F245"/>
      <c r="G245"/>
      <c r="H245"/>
      <c r="I245"/>
      <c r="K245"/>
      <c r="L245"/>
      <c r="M245"/>
      <c r="N245"/>
      <c r="P245"/>
      <c r="Q245"/>
      <c r="R245"/>
      <c r="S245"/>
      <c r="U245"/>
      <c r="V245"/>
      <c r="W245"/>
      <c r="X245"/>
    </row>
    <row r="246" spans="1:24" x14ac:dyDescent="0.25">
      <c r="A246"/>
      <c r="B246"/>
      <c r="C246"/>
      <c r="D246"/>
      <c r="F246"/>
      <c r="G246"/>
      <c r="H246"/>
      <c r="I246"/>
      <c r="K246"/>
      <c r="L246"/>
      <c r="M246"/>
      <c r="N246"/>
      <c r="P246"/>
      <c r="Q246"/>
      <c r="R246"/>
      <c r="S246"/>
      <c r="U246"/>
      <c r="V246"/>
      <c r="W246"/>
      <c r="X246"/>
    </row>
    <row r="247" spans="1:24" x14ac:dyDescent="0.25">
      <c r="A247"/>
      <c r="B247"/>
      <c r="C247"/>
      <c r="D247"/>
      <c r="F247"/>
      <c r="G247"/>
      <c r="H247"/>
      <c r="I247"/>
      <c r="K247"/>
      <c r="L247"/>
      <c r="M247"/>
      <c r="N247"/>
      <c r="P247"/>
      <c r="Q247"/>
      <c r="R247"/>
      <c r="S247"/>
      <c r="U247"/>
      <c r="V247"/>
      <c r="W247"/>
      <c r="X247"/>
    </row>
    <row r="248" spans="1:24" x14ac:dyDescent="0.25">
      <c r="A248"/>
      <c r="B248"/>
      <c r="C248"/>
      <c r="D248"/>
      <c r="F248"/>
      <c r="G248"/>
      <c r="H248"/>
      <c r="I248"/>
      <c r="K248"/>
      <c r="L248"/>
      <c r="M248"/>
      <c r="N248"/>
      <c r="P248"/>
      <c r="Q248"/>
      <c r="R248"/>
      <c r="S248"/>
      <c r="U248"/>
      <c r="V248"/>
      <c r="W248"/>
      <c r="X248"/>
    </row>
    <row r="249" spans="1:24" x14ac:dyDescent="0.25">
      <c r="A249"/>
      <c r="B249"/>
      <c r="C249"/>
      <c r="D249"/>
      <c r="F249"/>
      <c r="G249"/>
      <c r="H249"/>
      <c r="I249"/>
      <c r="K249"/>
      <c r="L249"/>
      <c r="M249"/>
      <c r="N249"/>
      <c r="P249"/>
      <c r="Q249"/>
      <c r="R249"/>
      <c r="S249"/>
      <c r="U249"/>
      <c r="V249"/>
      <c r="W249"/>
      <c r="X249"/>
    </row>
    <row r="250" spans="1:24" x14ac:dyDescent="0.25">
      <c r="A250"/>
      <c r="B250"/>
      <c r="C250"/>
      <c r="D250"/>
      <c r="F250"/>
      <c r="G250"/>
      <c r="H250"/>
      <c r="I250"/>
      <c r="K250"/>
      <c r="L250"/>
      <c r="M250"/>
      <c r="N250"/>
      <c r="P250"/>
      <c r="Q250"/>
      <c r="R250"/>
      <c r="S250"/>
      <c r="U250"/>
      <c r="V250"/>
      <c r="W250"/>
      <c r="X250"/>
    </row>
    <row r="251" spans="1:24" x14ac:dyDescent="0.25">
      <c r="A251"/>
      <c r="B251"/>
      <c r="C251"/>
      <c r="D251"/>
      <c r="F251"/>
      <c r="G251"/>
      <c r="H251"/>
      <c r="I251"/>
      <c r="K251"/>
      <c r="L251"/>
      <c r="M251"/>
      <c r="N251"/>
      <c r="P251"/>
      <c r="Q251"/>
      <c r="R251"/>
      <c r="S251"/>
      <c r="U251"/>
      <c r="V251"/>
      <c r="W251"/>
      <c r="X251"/>
    </row>
    <row r="252" spans="1:24" x14ac:dyDescent="0.25">
      <c r="A252"/>
      <c r="B252"/>
      <c r="C252"/>
      <c r="D252"/>
      <c r="F252"/>
      <c r="G252"/>
      <c r="H252"/>
      <c r="I252"/>
      <c r="K252"/>
      <c r="L252"/>
      <c r="M252"/>
      <c r="N252"/>
      <c r="P252"/>
      <c r="Q252"/>
      <c r="R252"/>
      <c r="S252"/>
      <c r="U252"/>
      <c r="V252"/>
      <c r="W252"/>
      <c r="X252"/>
    </row>
    <row r="253" spans="1:24" x14ac:dyDescent="0.25">
      <c r="A253"/>
      <c r="B253"/>
      <c r="C253"/>
      <c r="D253"/>
      <c r="F253"/>
      <c r="G253"/>
      <c r="H253"/>
      <c r="I253"/>
      <c r="K253"/>
      <c r="L253"/>
      <c r="M253"/>
      <c r="N253"/>
      <c r="P253"/>
      <c r="Q253"/>
      <c r="R253"/>
      <c r="S253"/>
      <c r="U253"/>
      <c r="V253"/>
      <c r="W253"/>
      <c r="X253"/>
    </row>
    <row r="254" spans="1:24" x14ac:dyDescent="0.25">
      <c r="A254"/>
      <c r="B254"/>
      <c r="C254"/>
      <c r="D254"/>
      <c r="F254"/>
      <c r="G254"/>
      <c r="H254"/>
      <c r="I254"/>
      <c r="K254"/>
      <c r="L254"/>
      <c r="M254"/>
      <c r="N254"/>
      <c r="P254"/>
      <c r="Q254"/>
      <c r="R254"/>
      <c r="S254"/>
      <c r="U254"/>
      <c r="V254"/>
      <c r="W254"/>
      <c r="X254"/>
    </row>
    <row r="255" spans="1:24" x14ac:dyDescent="0.25">
      <c r="A255"/>
      <c r="B255"/>
      <c r="C255"/>
      <c r="D255"/>
      <c r="F255"/>
      <c r="G255"/>
      <c r="H255"/>
      <c r="I255"/>
      <c r="K255"/>
      <c r="L255"/>
      <c r="M255"/>
      <c r="N255"/>
      <c r="P255"/>
      <c r="Q255"/>
      <c r="R255"/>
      <c r="S255"/>
      <c r="U255"/>
      <c r="V255"/>
      <c r="W255"/>
      <c r="X255"/>
    </row>
    <row r="256" spans="1:24" x14ac:dyDescent="0.25">
      <c r="A256"/>
      <c r="B256"/>
      <c r="C256"/>
      <c r="D256"/>
      <c r="F256"/>
      <c r="G256"/>
      <c r="H256"/>
      <c r="I256"/>
      <c r="K256"/>
      <c r="L256"/>
      <c r="M256"/>
      <c r="N256"/>
      <c r="P256"/>
      <c r="Q256"/>
      <c r="R256"/>
      <c r="S256"/>
      <c r="U256"/>
      <c r="V256"/>
      <c r="W256"/>
      <c r="X256"/>
    </row>
    <row r="257" spans="1:24" x14ac:dyDescent="0.25">
      <c r="A257"/>
      <c r="B257"/>
      <c r="C257"/>
      <c r="D257"/>
      <c r="F257"/>
      <c r="G257"/>
      <c r="H257"/>
      <c r="I257"/>
      <c r="K257"/>
      <c r="L257"/>
      <c r="M257"/>
      <c r="N257"/>
      <c r="P257"/>
      <c r="Q257"/>
      <c r="R257"/>
      <c r="S257"/>
      <c r="U257"/>
      <c r="V257"/>
      <c r="W257"/>
      <c r="X257"/>
    </row>
    <row r="258" spans="1:24" x14ac:dyDescent="0.25">
      <c r="A258"/>
      <c r="B258"/>
      <c r="C258"/>
      <c r="D258"/>
      <c r="F258"/>
      <c r="G258"/>
      <c r="H258"/>
      <c r="I258"/>
      <c r="K258"/>
      <c r="L258"/>
      <c r="M258"/>
      <c r="N258"/>
      <c r="P258"/>
      <c r="Q258"/>
      <c r="R258"/>
      <c r="S258"/>
      <c r="U258"/>
      <c r="V258"/>
      <c r="W258"/>
      <c r="X258"/>
    </row>
    <row r="259" spans="1:24" x14ac:dyDescent="0.25">
      <c r="A259"/>
      <c r="B259"/>
      <c r="C259"/>
      <c r="D259"/>
      <c r="F259"/>
      <c r="G259"/>
      <c r="H259"/>
      <c r="I259"/>
      <c r="K259"/>
      <c r="L259"/>
      <c r="M259"/>
      <c r="N259"/>
      <c r="P259"/>
      <c r="Q259"/>
      <c r="R259"/>
      <c r="S259"/>
      <c r="U259"/>
      <c r="V259"/>
      <c r="W259"/>
      <c r="X259"/>
    </row>
    <row r="260" spans="1:24" x14ac:dyDescent="0.25">
      <c r="A260"/>
      <c r="B260"/>
      <c r="C260"/>
      <c r="D260"/>
      <c r="F260"/>
      <c r="G260"/>
      <c r="H260"/>
      <c r="I260"/>
      <c r="K260"/>
      <c r="L260"/>
      <c r="M260"/>
      <c r="N260"/>
      <c r="P260"/>
      <c r="Q260"/>
      <c r="R260"/>
      <c r="S260"/>
      <c r="U260"/>
      <c r="V260"/>
      <c r="W260"/>
      <c r="X260"/>
    </row>
    <row r="261" spans="1:24" x14ac:dyDescent="0.25">
      <c r="A261"/>
      <c r="B261"/>
      <c r="C261"/>
      <c r="D261"/>
      <c r="F261"/>
      <c r="G261"/>
      <c r="H261"/>
      <c r="I261"/>
      <c r="K261"/>
      <c r="L261"/>
      <c r="M261"/>
      <c r="N261"/>
      <c r="P261"/>
      <c r="Q261"/>
      <c r="R261"/>
      <c r="S261"/>
      <c r="U261"/>
      <c r="V261"/>
      <c r="W261"/>
      <c r="X261"/>
    </row>
    <row r="262" spans="1:24" x14ac:dyDescent="0.25">
      <c r="A262"/>
      <c r="B262"/>
      <c r="C262"/>
      <c r="D262"/>
      <c r="F262"/>
      <c r="G262"/>
      <c r="H262"/>
      <c r="I262"/>
      <c r="K262"/>
      <c r="L262"/>
      <c r="M262"/>
      <c r="N262"/>
      <c r="P262"/>
      <c r="Q262"/>
      <c r="R262"/>
      <c r="S262"/>
      <c r="U262"/>
      <c r="V262"/>
      <c r="W262"/>
      <c r="X262"/>
    </row>
    <row r="263" spans="1:24" x14ac:dyDescent="0.25">
      <c r="A263"/>
      <c r="B263"/>
      <c r="C263"/>
      <c r="D263"/>
      <c r="F263"/>
      <c r="G263"/>
      <c r="H263"/>
      <c r="I263"/>
      <c r="K263"/>
      <c r="L263"/>
      <c r="M263"/>
      <c r="N263"/>
      <c r="P263"/>
      <c r="Q263"/>
      <c r="R263"/>
      <c r="S263"/>
      <c r="U263"/>
      <c r="V263"/>
      <c r="W263"/>
      <c r="X263"/>
    </row>
    <row r="264" spans="1:24" x14ac:dyDescent="0.25">
      <c r="A264"/>
      <c r="B264"/>
      <c r="C264"/>
      <c r="D264"/>
      <c r="F264"/>
      <c r="G264"/>
      <c r="H264"/>
      <c r="I264"/>
      <c r="K264"/>
      <c r="L264"/>
      <c r="M264"/>
      <c r="N264"/>
      <c r="P264"/>
      <c r="Q264"/>
      <c r="R264"/>
      <c r="S264"/>
      <c r="U264"/>
      <c r="V264"/>
      <c r="W264"/>
      <c r="X264"/>
    </row>
    <row r="265" spans="1:24" x14ac:dyDescent="0.25">
      <c r="A265"/>
      <c r="B265"/>
      <c r="C265"/>
      <c r="D265"/>
      <c r="F265"/>
      <c r="G265"/>
      <c r="H265"/>
      <c r="I265"/>
      <c r="K265"/>
      <c r="L265"/>
      <c r="M265"/>
      <c r="N265"/>
      <c r="P265"/>
      <c r="Q265"/>
      <c r="R265"/>
      <c r="S265"/>
      <c r="U265"/>
      <c r="V265"/>
      <c r="W265"/>
      <c r="X265"/>
    </row>
    <row r="266" spans="1:24" x14ac:dyDescent="0.25">
      <c r="A266"/>
      <c r="B266"/>
      <c r="C266"/>
      <c r="D266"/>
      <c r="F266"/>
      <c r="G266"/>
      <c r="H266"/>
      <c r="I266"/>
      <c r="K266"/>
      <c r="L266"/>
      <c r="M266"/>
      <c r="N266"/>
      <c r="P266"/>
      <c r="Q266"/>
      <c r="R266"/>
      <c r="S266"/>
      <c r="U266"/>
      <c r="V266"/>
      <c r="W266"/>
      <c r="X266"/>
    </row>
    <row r="267" spans="1:24" x14ac:dyDescent="0.25">
      <c r="A267"/>
      <c r="B267"/>
      <c r="C267"/>
      <c r="D267"/>
      <c r="F267"/>
      <c r="G267"/>
      <c r="H267"/>
      <c r="I267"/>
      <c r="K267"/>
      <c r="L267"/>
      <c r="M267"/>
      <c r="N267"/>
      <c r="P267"/>
      <c r="Q267"/>
      <c r="R267"/>
      <c r="S267"/>
      <c r="U267"/>
      <c r="V267"/>
      <c r="W267"/>
      <c r="X267"/>
    </row>
    <row r="268" spans="1:24" x14ac:dyDescent="0.25">
      <c r="A268"/>
      <c r="B268"/>
      <c r="C268"/>
      <c r="D268"/>
      <c r="F268"/>
      <c r="G268"/>
      <c r="H268"/>
      <c r="I268"/>
      <c r="K268"/>
      <c r="L268"/>
      <c r="M268"/>
      <c r="N268"/>
      <c r="P268"/>
      <c r="Q268"/>
      <c r="R268"/>
      <c r="S268"/>
      <c r="U268"/>
      <c r="V268"/>
      <c r="W268"/>
      <c r="X268"/>
    </row>
    <row r="269" spans="1:24" x14ac:dyDescent="0.25">
      <c r="A269"/>
      <c r="B269"/>
      <c r="C269"/>
      <c r="D269"/>
      <c r="F269"/>
      <c r="G269"/>
      <c r="H269"/>
      <c r="I269"/>
      <c r="K269"/>
      <c r="L269"/>
      <c r="M269"/>
      <c r="N269"/>
      <c r="P269"/>
      <c r="Q269"/>
      <c r="R269"/>
      <c r="S269"/>
      <c r="U269"/>
      <c r="V269"/>
      <c r="W269"/>
      <c r="X269"/>
    </row>
    <row r="270" spans="1:24" x14ac:dyDescent="0.25">
      <c r="A270"/>
      <c r="B270"/>
      <c r="C270"/>
      <c r="D270"/>
      <c r="F270"/>
      <c r="G270"/>
      <c r="H270"/>
      <c r="I270"/>
      <c r="K270"/>
      <c r="L270"/>
      <c r="M270"/>
      <c r="N270"/>
      <c r="P270"/>
      <c r="Q270"/>
      <c r="R270"/>
      <c r="S270"/>
      <c r="U270"/>
      <c r="V270"/>
      <c r="W270"/>
      <c r="X270"/>
    </row>
    <row r="271" spans="1:24" x14ac:dyDescent="0.25">
      <c r="A271"/>
      <c r="B271"/>
      <c r="C271"/>
      <c r="D271"/>
      <c r="F271"/>
      <c r="G271"/>
      <c r="H271"/>
      <c r="I271"/>
      <c r="K271"/>
      <c r="L271"/>
      <c r="M271"/>
      <c r="N271"/>
      <c r="P271"/>
      <c r="Q271"/>
      <c r="R271"/>
      <c r="S271"/>
      <c r="U271"/>
      <c r="V271"/>
      <c r="W271"/>
      <c r="X271"/>
    </row>
    <row r="272" spans="1:24" x14ac:dyDescent="0.25">
      <c r="A272"/>
      <c r="B272"/>
      <c r="C272"/>
      <c r="D272"/>
      <c r="F272"/>
      <c r="G272"/>
      <c r="H272"/>
      <c r="I272"/>
      <c r="K272"/>
      <c r="L272"/>
      <c r="M272"/>
      <c r="N272"/>
      <c r="P272"/>
      <c r="Q272"/>
      <c r="R272"/>
      <c r="S272"/>
      <c r="U272"/>
      <c r="V272"/>
      <c r="W272"/>
      <c r="X272"/>
    </row>
    <row r="273" spans="1:24" x14ac:dyDescent="0.25">
      <c r="A273"/>
      <c r="B273"/>
      <c r="C273"/>
      <c r="D273"/>
      <c r="F273"/>
      <c r="G273"/>
      <c r="H273"/>
      <c r="I273"/>
      <c r="K273"/>
      <c r="L273"/>
      <c r="M273"/>
      <c r="N273"/>
      <c r="P273"/>
      <c r="Q273"/>
      <c r="R273"/>
      <c r="S273"/>
      <c r="U273"/>
      <c r="V273"/>
      <c r="W273"/>
      <c r="X273"/>
    </row>
    <row r="274" spans="1:24" x14ac:dyDescent="0.25">
      <c r="A274"/>
      <c r="B274"/>
      <c r="C274"/>
      <c r="D274"/>
      <c r="F274"/>
      <c r="G274"/>
      <c r="H274"/>
      <c r="I274"/>
      <c r="K274"/>
      <c r="L274"/>
      <c r="M274"/>
      <c r="N274"/>
      <c r="P274"/>
      <c r="Q274"/>
      <c r="R274"/>
      <c r="S274"/>
      <c r="U274"/>
      <c r="V274"/>
      <c r="W274"/>
      <c r="X274"/>
    </row>
    <row r="275" spans="1:24" x14ac:dyDescent="0.25">
      <c r="A275"/>
      <c r="B275"/>
      <c r="C275"/>
      <c r="D275"/>
      <c r="F275"/>
      <c r="G275"/>
      <c r="H275"/>
      <c r="I275"/>
      <c r="K275"/>
      <c r="L275"/>
      <c r="M275"/>
      <c r="N275"/>
      <c r="P275"/>
      <c r="Q275"/>
      <c r="R275"/>
      <c r="S275"/>
      <c r="U275"/>
      <c r="V275"/>
      <c r="W275"/>
      <c r="X275"/>
    </row>
    <row r="276" spans="1:24" x14ac:dyDescent="0.25">
      <c r="A276"/>
      <c r="B276"/>
      <c r="C276"/>
      <c r="D276"/>
      <c r="F276"/>
      <c r="G276"/>
      <c r="H276"/>
      <c r="I276"/>
      <c r="K276"/>
      <c r="L276"/>
      <c r="M276"/>
      <c r="N276"/>
      <c r="P276"/>
      <c r="Q276"/>
      <c r="R276"/>
      <c r="S276"/>
      <c r="U276"/>
      <c r="V276"/>
      <c r="W276"/>
      <c r="X276"/>
    </row>
    <row r="277" spans="1:24" x14ac:dyDescent="0.25">
      <c r="A277"/>
      <c r="B277"/>
      <c r="C277"/>
      <c r="D277"/>
      <c r="F277"/>
      <c r="G277"/>
      <c r="H277"/>
      <c r="I277"/>
      <c r="K277"/>
      <c r="L277"/>
      <c r="M277"/>
      <c r="N277"/>
      <c r="P277"/>
      <c r="Q277"/>
      <c r="R277"/>
      <c r="S277"/>
      <c r="U277"/>
      <c r="V277"/>
      <c r="W277"/>
      <c r="X277"/>
    </row>
    <row r="278" spans="1:24" x14ac:dyDescent="0.25">
      <c r="A278"/>
      <c r="B278"/>
      <c r="C278"/>
      <c r="D278"/>
      <c r="F278"/>
      <c r="G278"/>
      <c r="H278"/>
      <c r="I278"/>
      <c r="K278"/>
      <c r="L278"/>
      <c r="M278"/>
      <c r="N278"/>
      <c r="P278"/>
      <c r="Q278"/>
      <c r="R278"/>
      <c r="S278"/>
      <c r="U278"/>
      <c r="V278"/>
      <c r="W278"/>
      <c r="X278"/>
    </row>
    <row r="279" spans="1:24" x14ac:dyDescent="0.25">
      <c r="A279"/>
      <c r="B279"/>
      <c r="C279"/>
      <c r="D279"/>
      <c r="F279"/>
      <c r="G279"/>
      <c r="H279"/>
      <c r="I279"/>
      <c r="K279"/>
      <c r="L279"/>
      <c r="M279"/>
      <c r="N279"/>
      <c r="P279"/>
      <c r="Q279"/>
      <c r="R279"/>
      <c r="S279"/>
      <c r="U279"/>
      <c r="V279"/>
      <c r="W279"/>
      <c r="X279"/>
    </row>
    <row r="280" spans="1:24" x14ac:dyDescent="0.25">
      <c r="A280"/>
      <c r="B280"/>
      <c r="C280"/>
      <c r="D280"/>
      <c r="F280"/>
      <c r="G280"/>
      <c r="H280"/>
      <c r="I280"/>
      <c r="K280"/>
      <c r="L280"/>
      <c r="M280"/>
      <c r="N280"/>
      <c r="P280"/>
      <c r="Q280"/>
      <c r="R280"/>
      <c r="S280"/>
      <c r="U280"/>
      <c r="V280"/>
      <c r="W280"/>
      <c r="X280"/>
    </row>
    <row r="281" spans="1:24" x14ac:dyDescent="0.25">
      <c r="A281"/>
      <c r="B281"/>
      <c r="C281"/>
      <c r="D281"/>
      <c r="F281"/>
      <c r="G281"/>
      <c r="H281"/>
      <c r="I281"/>
      <c r="K281"/>
      <c r="L281"/>
      <c r="M281"/>
      <c r="N281"/>
      <c r="P281"/>
      <c r="Q281"/>
      <c r="R281"/>
      <c r="S281"/>
      <c r="U281"/>
      <c r="V281"/>
      <c r="W281"/>
      <c r="X281"/>
    </row>
    <row r="282" spans="1:24" x14ac:dyDescent="0.25">
      <c r="A282"/>
      <c r="B282"/>
      <c r="C282"/>
      <c r="D282"/>
      <c r="F282"/>
      <c r="G282"/>
      <c r="H282"/>
      <c r="I282"/>
      <c r="K282"/>
      <c r="L282"/>
      <c r="M282"/>
      <c r="N282"/>
      <c r="P282"/>
      <c r="Q282"/>
      <c r="R282"/>
      <c r="S282"/>
      <c r="U282"/>
      <c r="V282"/>
      <c r="W282"/>
      <c r="X282"/>
    </row>
    <row r="283" spans="1:24" x14ac:dyDescent="0.25">
      <c r="A283"/>
      <c r="B283"/>
      <c r="C283"/>
      <c r="D283"/>
      <c r="F283"/>
      <c r="G283"/>
      <c r="H283"/>
      <c r="I283"/>
      <c r="K283"/>
      <c r="L283"/>
      <c r="M283"/>
      <c r="N283"/>
      <c r="P283"/>
      <c r="Q283"/>
      <c r="R283"/>
      <c r="S283"/>
      <c r="U283"/>
      <c r="V283"/>
      <c r="W283"/>
      <c r="X283"/>
    </row>
    <row r="284" spans="1:24" x14ac:dyDescent="0.25">
      <c r="A284"/>
      <c r="B284"/>
      <c r="C284"/>
      <c r="D284"/>
      <c r="F284"/>
      <c r="G284"/>
      <c r="H284"/>
      <c r="I284"/>
      <c r="K284"/>
      <c r="L284"/>
      <c r="M284"/>
      <c r="N284"/>
      <c r="P284"/>
      <c r="Q284"/>
      <c r="R284"/>
      <c r="S284"/>
      <c r="U284"/>
      <c r="V284"/>
      <c r="W284"/>
      <c r="X284"/>
    </row>
    <row r="285" spans="1:24" x14ac:dyDescent="0.25">
      <c r="A285"/>
      <c r="B285"/>
      <c r="C285"/>
      <c r="D285"/>
      <c r="F285"/>
      <c r="G285"/>
      <c r="H285"/>
      <c r="I285"/>
      <c r="K285"/>
      <c r="L285"/>
      <c r="M285"/>
      <c r="N285"/>
      <c r="P285"/>
      <c r="Q285"/>
      <c r="R285"/>
      <c r="S285"/>
      <c r="U285"/>
      <c r="V285"/>
      <c r="W285"/>
      <c r="X285"/>
    </row>
    <row r="286" spans="1:24" x14ac:dyDescent="0.25">
      <c r="A286"/>
      <c r="B286"/>
      <c r="C286"/>
      <c r="D286"/>
      <c r="F286"/>
      <c r="G286"/>
      <c r="H286"/>
      <c r="I286"/>
      <c r="K286"/>
      <c r="L286"/>
      <c r="M286"/>
      <c r="N286"/>
      <c r="P286"/>
      <c r="Q286"/>
      <c r="R286"/>
      <c r="S286"/>
      <c r="U286"/>
      <c r="V286"/>
      <c r="W286"/>
      <c r="X286"/>
    </row>
    <row r="287" spans="1:24" x14ac:dyDescent="0.25">
      <c r="A287"/>
      <c r="B287"/>
      <c r="C287"/>
      <c r="D287"/>
      <c r="F287"/>
      <c r="G287"/>
      <c r="H287"/>
      <c r="I287"/>
      <c r="K287"/>
      <c r="L287"/>
      <c r="M287"/>
      <c r="N287"/>
      <c r="P287"/>
      <c r="Q287"/>
      <c r="R287"/>
      <c r="S287"/>
      <c r="U287"/>
      <c r="V287"/>
      <c r="W287"/>
      <c r="X287"/>
    </row>
    <row r="288" spans="1:24" x14ac:dyDescent="0.25">
      <c r="A288"/>
      <c r="B288"/>
      <c r="C288"/>
      <c r="D288"/>
      <c r="F288"/>
      <c r="G288"/>
      <c r="H288"/>
      <c r="I288"/>
      <c r="K288"/>
      <c r="L288"/>
      <c r="M288"/>
      <c r="N288"/>
      <c r="P288"/>
      <c r="Q288"/>
      <c r="R288"/>
      <c r="S288"/>
      <c r="U288"/>
      <c r="V288"/>
      <c r="W288"/>
      <c r="X288"/>
    </row>
    <row r="289" spans="1:24" x14ac:dyDescent="0.25">
      <c r="A289"/>
      <c r="B289"/>
      <c r="C289"/>
      <c r="D289"/>
      <c r="F289"/>
      <c r="G289"/>
      <c r="H289"/>
      <c r="I289"/>
      <c r="K289"/>
      <c r="L289"/>
      <c r="M289"/>
      <c r="N289"/>
      <c r="P289"/>
      <c r="Q289"/>
      <c r="R289"/>
      <c r="S289"/>
      <c r="U289"/>
      <c r="V289"/>
      <c r="W289"/>
      <c r="X289"/>
    </row>
    <row r="290" spans="1:24" x14ac:dyDescent="0.25">
      <c r="A290"/>
      <c r="B290"/>
      <c r="C290"/>
      <c r="D290"/>
      <c r="F290"/>
      <c r="G290"/>
      <c r="H290"/>
      <c r="I290"/>
      <c r="K290"/>
      <c r="L290"/>
      <c r="M290"/>
      <c r="N290"/>
      <c r="P290"/>
      <c r="Q290"/>
      <c r="R290"/>
      <c r="S290"/>
      <c r="U290"/>
      <c r="V290"/>
      <c r="W290"/>
      <c r="X290"/>
    </row>
    <row r="291" spans="1:24" x14ac:dyDescent="0.25">
      <c r="A291"/>
      <c r="B291"/>
      <c r="C291"/>
      <c r="D291"/>
      <c r="F291"/>
      <c r="G291"/>
      <c r="H291"/>
      <c r="I291"/>
      <c r="K291"/>
      <c r="L291"/>
      <c r="M291"/>
      <c r="N291"/>
      <c r="P291"/>
      <c r="Q291"/>
      <c r="R291"/>
      <c r="S291"/>
      <c r="U291"/>
      <c r="V291"/>
      <c r="W291"/>
      <c r="X291"/>
    </row>
    <row r="292" spans="1:24" x14ac:dyDescent="0.25">
      <c r="A292"/>
      <c r="B292"/>
      <c r="C292"/>
      <c r="D292"/>
      <c r="F292"/>
      <c r="G292"/>
      <c r="H292"/>
      <c r="I292"/>
      <c r="K292"/>
      <c r="L292"/>
      <c r="M292"/>
      <c r="N292"/>
      <c r="P292"/>
      <c r="Q292"/>
      <c r="R292"/>
      <c r="S292"/>
      <c r="U292"/>
      <c r="V292"/>
      <c r="W292"/>
      <c r="X292"/>
    </row>
    <row r="293" spans="1:24" x14ac:dyDescent="0.25">
      <c r="A293"/>
      <c r="B293"/>
      <c r="C293"/>
      <c r="D293"/>
      <c r="F293"/>
      <c r="G293"/>
      <c r="H293"/>
      <c r="I293"/>
      <c r="K293"/>
      <c r="L293"/>
      <c r="M293"/>
      <c r="N293"/>
      <c r="P293"/>
      <c r="Q293"/>
      <c r="R293"/>
      <c r="S293"/>
      <c r="U293"/>
      <c r="V293"/>
      <c r="W293"/>
      <c r="X293"/>
    </row>
    <row r="294" spans="1:24" x14ac:dyDescent="0.25">
      <c r="A294"/>
      <c r="B294"/>
      <c r="C294"/>
      <c r="D294"/>
      <c r="F294"/>
      <c r="G294"/>
      <c r="H294"/>
      <c r="I294"/>
      <c r="K294"/>
      <c r="L294"/>
      <c r="M294"/>
      <c r="N294"/>
      <c r="P294"/>
      <c r="Q294"/>
      <c r="R294"/>
      <c r="S294"/>
      <c r="U294"/>
      <c r="V294"/>
      <c r="W294"/>
      <c r="X294"/>
    </row>
    <row r="295" spans="1:24" x14ac:dyDescent="0.25">
      <c r="A295"/>
      <c r="B295"/>
      <c r="C295"/>
      <c r="D295"/>
      <c r="F295"/>
      <c r="G295"/>
      <c r="H295"/>
      <c r="I295"/>
      <c r="K295"/>
      <c r="L295"/>
      <c r="M295"/>
      <c r="N295"/>
      <c r="P295"/>
      <c r="Q295"/>
      <c r="R295"/>
      <c r="S295"/>
      <c r="U295"/>
      <c r="V295"/>
      <c r="W295"/>
      <c r="X295"/>
    </row>
    <row r="296" spans="1:24" x14ac:dyDescent="0.25">
      <c r="A296"/>
      <c r="B296"/>
      <c r="C296"/>
      <c r="D296"/>
      <c r="F296"/>
      <c r="G296"/>
      <c r="H296"/>
      <c r="I296"/>
      <c r="K296"/>
      <c r="L296"/>
      <c r="M296"/>
      <c r="N296"/>
      <c r="P296"/>
      <c r="Q296"/>
      <c r="R296"/>
      <c r="S296"/>
      <c r="U296"/>
      <c r="V296"/>
      <c r="W296"/>
      <c r="X296"/>
    </row>
    <row r="297" spans="1:24" x14ac:dyDescent="0.25">
      <c r="A297"/>
      <c r="B297"/>
      <c r="C297"/>
      <c r="D297"/>
      <c r="F297"/>
      <c r="G297"/>
      <c r="H297"/>
      <c r="I297"/>
      <c r="K297"/>
      <c r="L297"/>
      <c r="M297"/>
      <c r="N297"/>
      <c r="P297"/>
      <c r="Q297"/>
      <c r="R297"/>
      <c r="S297"/>
      <c r="U297"/>
      <c r="V297"/>
      <c r="W297"/>
      <c r="X297"/>
    </row>
    <row r="298" spans="1:24" x14ac:dyDescent="0.25">
      <c r="A298"/>
      <c r="B298"/>
      <c r="C298"/>
      <c r="D298"/>
      <c r="F298"/>
      <c r="G298"/>
      <c r="H298"/>
      <c r="I298"/>
      <c r="K298"/>
      <c r="L298"/>
      <c r="M298"/>
      <c r="N298"/>
      <c r="P298"/>
      <c r="Q298"/>
      <c r="R298"/>
      <c r="S298"/>
      <c r="U298"/>
      <c r="V298"/>
      <c r="W298"/>
      <c r="X298"/>
    </row>
    <row r="299" spans="1:24" x14ac:dyDescent="0.25">
      <c r="A299"/>
      <c r="B299"/>
      <c r="C299"/>
      <c r="D299"/>
      <c r="F299"/>
      <c r="G299"/>
      <c r="H299"/>
      <c r="I299"/>
      <c r="K299"/>
      <c r="L299"/>
      <c r="M299"/>
      <c r="N299"/>
      <c r="P299"/>
      <c r="Q299"/>
      <c r="R299"/>
      <c r="S299"/>
      <c r="U299"/>
      <c r="V299"/>
      <c r="W299"/>
      <c r="X299"/>
    </row>
    <row r="300" spans="1:24" x14ac:dyDescent="0.25">
      <c r="A300"/>
      <c r="B300"/>
      <c r="C300"/>
      <c r="D300"/>
      <c r="F300"/>
      <c r="G300"/>
      <c r="H300"/>
      <c r="I300"/>
      <c r="K300"/>
      <c r="L300"/>
      <c r="M300"/>
      <c r="N300"/>
      <c r="P300"/>
      <c r="Q300"/>
      <c r="R300"/>
      <c r="S300"/>
      <c r="U300"/>
      <c r="V300"/>
      <c r="W300"/>
      <c r="X300"/>
    </row>
    <row r="301" spans="1:24" x14ac:dyDescent="0.25">
      <c r="A301"/>
      <c r="B301"/>
      <c r="C301"/>
      <c r="D301"/>
      <c r="F301"/>
      <c r="G301"/>
      <c r="H301"/>
      <c r="I301"/>
      <c r="K301"/>
      <c r="L301"/>
      <c r="M301"/>
      <c r="N301"/>
      <c r="P301"/>
      <c r="Q301"/>
      <c r="R301"/>
      <c r="S301"/>
      <c r="U301"/>
      <c r="V301"/>
      <c r="W301"/>
      <c r="X301"/>
    </row>
    <row r="302" spans="1:24" x14ac:dyDescent="0.25">
      <c r="A302"/>
      <c r="B302"/>
      <c r="C302"/>
      <c r="D302"/>
      <c r="F302"/>
      <c r="G302"/>
      <c r="H302"/>
      <c r="I302"/>
      <c r="K302"/>
      <c r="L302"/>
      <c r="M302"/>
      <c r="N302"/>
      <c r="P302"/>
      <c r="Q302"/>
      <c r="R302"/>
      <c r="S302"/>
      <c r="U302"/>
      <c r="V302"/>
      <c r="W302"/>
      <c r="X302"/>
    </row>
    <row r="303" spans="1:24" x14ac:dyDescent="0.25">
      <c r="A303"/>
      <c r="B303"/>
      <c r="C303"/>
      <c r="D303"/>
      <c r="F303"/>
      <c r="G303"/>
      <c r="H303"/>
      <c r="I303"/>
      <c r="K303"/>
      <c r="L303"/>
      <c r="M303"/>
      <c r="N303"/>
      <c r="P303"/>
      <c r="Q303"/>
      <c r="R303"/>
      <c r="S303"/>
      <c r="U303"/>
      <c r="V303"/>
      <c r="W303"/>
      <c r="X303"/>
    </row>
    <row r="304" spans="1:24" x14ac:dyDescent="0.25">
      <c r="A304"/>
      <c r="B304"/>
      <c r="C304"/>
      <c r="D304"/>
      <c r="F304"/>
      <c r="G304"/>
      <c r="H304"/>
      <c r="I304"/>
      <c r="K304"/>
      <c r="L304"/>
      <c r="M304"/>
      <c r="N304"/>
      <c r="P304"/>
      <c r="Q304"/>
      <c r="R304"/>
      <c r="S304"/>
      <c r="U304"/>
      <c r="V304"/>
      <c r="W304"/>
      <c r="X304"/>
    </row>
    <row r="305" spans="1:24" x14ac:dyDescent="0.25">
      <c r="A305"/>
      <c r="B305"/>
      <c r="C305"/>
      <c r="D305"/>
      <c r="F305"/>
      <c r="G305"/>
      <c r="H305"/>
      <c r="I305"/>
      <c r="K305"/>
      <c r="L305"/>
      <c r="M305"/>
      <c r="N305"/>
      <c r="P305"/>
      <c r="Q305"/>
      <c r="R305"/>
      <c r="S305"/>
      <c r="U305"/>
      <c r="V305"/>
      <c r="W305"/>
      <c r="X305"/>
    </row>
    <row r="306" spans="1:24" x14ac:dyDescent="0.25">
      <c r="A306"/>
      <c r="B306"/>
      <c r="C306"/>
      <c r="D306"/>
      <c r="F306"/>
      <c r="G306"/>
      <c r="H306"/>
      <c r="I306"/>
      <c r="K306"/>
      <c r="L306"/>
      <c r="M306"/>
      <c r="N306"/>
      <c r="P306"/>
      <c r="Q306"/>
      <c r="R306"/>
      <c r="S306"/>
      <c r="U306"/>
      <c r="V306"/>
      <c r="W306"/>
      <c r="X306"/>
    </row>
    <row r="307" spans="1:24" x14ac:dyDescent="0.25">
      <c r="A307"/>
      <c r="B307"/>
      <c r="C307"/>
      <c r="D307"/>
      <c r="F307"/>
      <c r="G307"/>
      <c r="H307"/>
      <c r="I307"/>
      <c r="K307"/>
      <c r="L307"/>
      <c r="M307"/>
      <c r="N307"/>
      <c r="P307"/>
      <c r="Q307"/>
      <c r="R307"/>
      <c r="S307"/>
      <c r="U307"/>
      <c r="V307"/>
      <c r="W307"/>
      <c r="X307"/>
    </row>
    <row r="308" spans="1:24" x14ac:dyDescent="0.25">
      <c r="A308"/>
      <c r="B308"/>
      <c r="C308"/>
      <c r="D308"/>
      <c r="F308"/>
      <c r="G308"/>
      <c r="H308"/>
      <c r="I308"/>
      <c r="K308"/>
      <c r="L308"/>
      <c r="M308"/>
      <c r="N308"/>
      <c r="P308"/>
      <c r="Q308"/>
      <c r="R308"/>
      <c r="S308"/>
      <c r="U308"/>
      <c r="V308"/>
      <c r="W308"/>
      <c r="X308"/>
    </row>
    <row r="309" spans="1:24" x14ac:dyDescent="0.25">
      <c r="A309"/>
      <c r="B309"/>
      <c r="C309"/>
      <c r="D309"/>
      <c r="F309"/>
      <c r="G309"/>
      <c r="H309"/>
      <c r="I309"/>
      <c r="K309"/>
      <c r="L309"/>
      <c r="M309"/>
      <c r="N309"/>
      <c r="P309"/>
      <c r="Q309"/>
      <c r="R309"/>
      <c r="S309"/>
      <c r="U309"/>
      <c r="V309"/>
      <c r="W309"/>
      <c r="X309"/>
    </row>
    <row r="310" spans="1:24" x14ac:dyDescent="0.25">
      <c r="A310"/>
      <c r="B310"/>
      <c r="C310"/>
      <c r="D310"/>
      <c r="F310"/>
      <c r="G310"/>
      <c r="H310"/>
      <c r="I310"/>
      <c r="K310"/>
      <c r="L310"/>
      <c r="M310"/>
      <c r="N310"/>
      <c r="P310"/>
      <c r="Q310"/>
      <c r="R310"/>
      <c r="S310"/>
      <c r="U310"/>
      <c r="V310"/>
      <c r="W310"/>
      <c r="X310"/>
    </row>
    <row r="311" spans="1:24" x14ac:dyDescent="0.25">
      <c r="A311"/>
      <c r="B311"/>
      <c r="C311"/>
      <c r="D311"/>
      <c r="F311"/>
      <c r="G311"/>
      <c r="H311"/>
      <c r="I311"/>
      <c r="K311"/>
      <c r="L311"/>
      <c r="M311"/>
      <c r="N311"/>
      <c r="P311"/>
      <c r="Q311"/>
      <c r="R311"/>
      <c r="S311"/>
      <c r="U311"/>
      <c r="V311"/>
      <c r="W311"/>
      <c r="X311"/>
    </row>
    <row r="312" spans="1:24" x14ac:dyDescent="0.25">
      <c r="A312"/>
      <c r="B312"/>
      <c r="C312"/>
      <c r="D312"/>
      <c r="F312"/>
      <c r="G312"/>
      <c r="H312"/>
      <c r="I312"/>
      <c r="K312"/>
      <c r="L312"/>
      <c r="M312"/>
      <c r="N312"/>
      <c r="P312"/>
      <c r="Q312"/>
      <c r="R312"/>
      <c r="S312"/>
      <c r="U312"/>
      <c r="V312"/>
      <c r="W312"/>
      <c r="X312"/>
    </row>
    <row r="313" spans="1:24" x14ac:dyDescent="0.25">
      <c r="A313"/>
      <c r="B313"/>
      <c r="C313"/>
      <c r="D313"/>
      <c r="F313"/>
      <c r="G313"/>
      <c r="H313"/>
      <c r="I313"/>
      <c r="K313"/>
      <c r="L313"/>
      <c r="M313"/>
      <c r="N313"/>
      <c r="P313"/>
      <c r="Q313"/>
      <c r="R313"/>
      <c r="S313"/>
      <c r="U313"/>
      <c r="V313"/>
      <c r="W313"/>
      <c r="X313"/>
    </row>
    <row r="314" spans="1:24" x14ac:dyDescent="0.25">
      <c r="A314"/>
      <c r="B314"/>
      <c r="C314"/>
      <c r="D314"/>
      <c r="F314"/>
      <c r="G314"/>
      <c r="H314"/>
      <c r="I314"/>
      <c r="K314"/>
      <c r="L314"/>
      <c r="M314"/>
      <c r="N314"/>
      <c r="P314"/>
      <c r="Q314"/>
      <c r="R314"/>
      <c r="S314"/>
      <c r="U314"/>
      <c r="V314"/>
      <c r="W314"/>
      <c r="X314"/>
    </row>
    <row r="315" spans="1:24" x14ac:dyDescent="0.25">
      <c r="A315"/>
      <c r="B315"/>
      <c r="C315"/>
      <c r="D315"/>
      <c r="F315"/>
      <c r="G315"/>
      <c r="H315"/>
      <c r="I315"/>
      <c r="K315"/>
      <c r="L315"/>
      <c r="M315"/>
      <c r="N315"/>
      <c r="P315"/>
      <c r="Q315"/>
      <c r="R315"/>
      <c r="S315"/>
      <c r="U315"/>
      <c r="V315"/>
      <c r="W315"/>
      <c r="X315"/>
    </row>
    <row r="316" spans="1:24" x14ac:dyDescent="0.25">
      <c r="A316"/>
      <c r="B316"/>
      <c r="C316"/>
      <c r="D316"/>
      <c r="F316"/>
      <c r="G316"/>
      <c r="H316"/>
      <c r="I316"/>
      <c r="K316"/>
      <c r="L316"/>
      <c r="M316"/>
      <c r="N316"/>
      <c r="P316"/>
      <c r="Q316"/>
      <c r="R316"/>
      <c r="S316"/>
      <c r="U316"/>
      <c r="V316"/>
      <c r="W316"/>
      <c r="X316"/>
    </row>
    <row r="317" spans="1:24" x14ac:dyDescent="0.25">
      <c r="A317"/>
      <c r="B317"/>
      <c r="C317"/>
      <c r="D317"/>
      <c r="F317"/>
      <c r="G317"/>
      <c r="H317"/>
      <c r="I317"/>
      <c r="K317"/>
      <c r="L317"/>
      <c r="M317"/>
      <c r="N317"/>
      <c r="P317"/>
      <c r="Q317"/>
      <c r="R317"/>
      <c r="S317"/>
      <c r="U317"/>
      <c r="V317"/>
      <c r="W317"/>
      <c r="X317"/>
    </row>
    <row r="318" spans="1:24" x14ac:dyDescent="0.25">
      <c r="A318"/>
      <c r="B318"/>
      <c r="C318"/>
      <c r="D318"/>
      <c r="F318"/>
      <c r="G318"/>
      <c r="H318"/>
      <c r="I318"/>
      <c r="K318"/>
      <c r="L318"/>
      <c r="M318"/>
      <c r="N318"/>
      <c r="P318"/>
      <c r="Q318"/>
      <c r="R318"/>
      <c r="S318"/>
      <c r="U318"/>
      <c r="V318"/>
      <c r="W318"/>
      <c r="X318"/>
    </row>
    <row r="319" spans="1:24" x14ac:dyDescent="0.25">
      <c r="A319"/>
      <c r="B319"/>
      <c r="C319"/>
      <c r="D319"/>
      <c r="F319"/>
      <c r="G319"/>
      <c r="H319"/>
      <c r="I319"/>
      <c r="K319"/>
      <c r="L319"/>
      <c r="M319"/>
      <c r="N319"/>
      <c r="P319"/>
      <c r="Q319"/>
      <c r="R319"/>
      <c r="S319"/>
      <c r="U319"/>
      <c r="V319"/>
      <c r="W319"/>
      <c r="X319"/>
    </row>
    <row r="320" spans="1:24" x14ac:dyDescent="0.25">
      <c r="A320"/>
      <c r="B320"/>
      <c r="C320"/>
      <c r="D320"/>
      <c r="F320"/>
      <c r="G320"/>
      <c r="H320"/>
      <c r="I320"/>
      <c r="K320"/>
      <c r="L320"/>
      <c r="M320"/>
      <c r="N320"/>
      <c r="P320"/>
      <c r="Q320"/>
      <c r="R320"/>
      <c r="S320"/>
      <c r="U320"/>
      <c r="V320"/>
      <c r="W320"/>
      <c r="X320"/>
    </row>
    <row r="321" spans="1:24" x14ac:dyDescent="0.25">
      <c r="A321"/>
      <c r="B321"/>
      <c r="C321"/>
      <c r="D321"/>
      <c r="F321"/>
      <c r="G321"/>
      <c r="H321"/>
      <c r="I321"/>
      <c r="K321"/>
      <c r="L321"/>
      <c r="M321"/>
      <c r="N321"/>
      <c r="P321"/>
      <c r="Q321"/>
      <c r="R321"/>
      <c r="S321"/>
      <c r="U321"/>
      <c r="V321"/>
      <c r="W321"/>
      <c r="X321"/>
    </row>
    <row r="322" spans="1:24" x14ac:dyDescent="0.25">
      <c r="A322"/>
      <c r="B322"/>
      <c r="C322"/>
      <c r="D322"/>
      <c r="F322"/>
      <c r="G322"/>
      <c r="H322"/>
      <c r="I322"/>
      <c r="K322"/>
      <c r="L322"/>
      <c r="M322"/>
      <c r="N322"/>
      <c r="P322"/>
      <c r="Q322"/>
      <c r="R322"/>
      <c r="S322"/>
      <c r="U322"/>
      <c r="V322"/>
      <c r="W322"/>
      <c r="X322"/>
    </row>
    <row r="323" spans="1:24" x14ac:dyDescent="0.25">
      <c r="A323"/>
      <c r="B323"/>
      <c r="C323"/>
      <c r="D323"/>
      <c r="F323"/>
      <c r="G323"/>
      <c r="H323"/>
      <c r="I323"/>
      <c r="K323"/>
      <c r="L323"/>
      <c r="M323"/>
      <c r="N323"/>
      <c r="P323"/>
      <c r="Q323"/>
      <c r="R323"/>
      <c r="S323"/>
      <c r="U323"/>
      <c r="V323"/>
      <c r="W323"/>
      <c r="X323"/>
    </row>
    <row r="324" spans="1:24" x14ac:dyDescent="0.25">
      <c r="A324"/>
      <c r="B324"/>
      <c r="C324"/>
      <c r="D324"/>
      <c r="F324"/>
      <c r="G324"/>
      <c r="H324"/>
      <c r="I324"/>
      <c r="K324"/>
      <c r="L324"/>
      <c r="M324"/>
      <c r="N324"/>
      <c r="P324"/>
      <c r="Q324"/>
      <c r="R324"/>
      <c r="S324"/>
      <c r="U324"/>
      <c r="V324"/>
      <c r="W324"/>
      <c r="X324"/>
    </row>
    <row r="325" spans="1:24" x14ac:dyDescent="0.25">
      <c r="A325"/>
      <c r="B325"/>
      <c r="C325"/>
      <c r="D325"/>
      <c r="F325"/>
      <c r="G325"/>
      <c r="H325"/>
      <c r="I325"/>
      <c r="K325"/>
      <c r="L325"/>
      <c r="M325"/>
      <c r="N325"/>
      <c r="P325"/>
      <c r="Q325"/>
      <c r="R325"/>
      <c r="S325"/>
      <c r="U325"/>
      <c r="V325"/>
      <c r="W325"/>
      <c r="X325"/>
    </row>
    <row r="326" spans="1:24" x14ac:dyDescent="0.25">
      <c r="A326"/>
      <c r="B326"/>
      <c r="C326"/>
      <c r="D326"/>
      <c r="F326"/>
      <c r="G326"/>
      <c r="H326"/>
      <c r="I326"/>
      <c r="K326"/>
      <c r="L326"/>
      <c r="M326"/>
      <c r="N326"/>
      <c r="P326"/>
      <c r="Q326"/>
      <c r="R326"/>
      <c r="S326"/>
      <c r="U326"/>
      <c r="V326"/>
      <c r="W326"/>
      <c r="X326"/>
    </row>
    <row r="327" spans="1:24" x14ac:dyDescent="0.25">
      <c r="A327"/>
      <c r="B327"/>
      <c r="C327"/>
      <c r="D327"/>
      <c r="F327"/>
      <c r="G327"/>
      <c r="H327"/>
      <c r="I327"/>
      <c r="K327"/>
      <c r="L327"/>
      <c r="M327"/>
      <c r="N327"/>
      <c r="P327"/>
      <c r="Q327"/>
      <c r="R327"/>
      <c r="S327"/>
      <c r="U327"/>
      <c r="V327"/>
      <c r="W327"/>
      <c r="X327"/>
    </row>
    <row r="328" spans="1:24" x14ac:dyDescent="0.25">
      <c r="A328"/>
      <c r="B328"/>
      <c r="C328"/>
      <c r="D328"/>
      <c r="F328"/>
      <c r="G328"/>
      <c r="H328"/>
      <c r="I328"/>
      <c r="K328"/>
      <c r="L328"/>
      <c r="M328"/>
      <c r="N328"/>
      <c r="P328"/>
      <c r="Q328"/>
      <c r="R328"/>
      <c r="S328"/>
      <c r="U328"/>
      <c r="V328"/>
      <c r="W328"/>
      <c r="X328"/>
    </row>
    <row r="329" spans="1:24" x14ac:dyDescent="0.25">
      <c r="A329"/>
      <c r="B329"/>
      <c r="C329"/>
      <c r="D329"/>
      <c r="F329"/>
      <c r="G329"/>
      <c r="H329"/>
      <c r="I329"/>
      <c r="K329"/>
      <c r="L329"/>
      <c r="M329"/>
      <c r="N329"/>
      <c r="P329"/>
      <c r="Q329"/>
      <c r="R329"/>
      <c r="S329"/>
      <c r="U329"/>
      <c r="V329"/>
      <c r="W329"/>
      <c r="X329"/>
    </row>
    <row r="330" spans="1:24" x14ac:dyDescent="0.25">
      <c r="A330"/>
      <c r="B330"/>
      <c r="C330"/>
      <c r="D330"/>
      <c r="F330"/>
      <c r="G330"/>
      <c r="H330"/>
      <c r="I330"/>
      <c r="K330"/>
      <c r="L330"/>
      <c r="M330"/>
      <c r="N330"/>
      <c r="P330"/>
      <c r="Q330"/>
      <c r="R330"/>
      <c r="S330"/>
      <c r="U330"/>
      <c r="V330"/>
      <c r="W330"/>
      <c r="X330"/>
    </row>
    <row r="331" spans="1:24" x14ac:dyDescent="0.25">
      <c r="A331"/>
      <c r="B331"/>
      <c r="C331"/>
      <c r="D331"/>
      <c r="F331"/>
      <c r="G331"/>
      <c r="H331"/>
      <c r="I331"/>
      <c r="K331"/>
      <c r="L331"/>
      <c r="M331"/>
      <c r="N331"/>
      <c r="P331"/>
      <c r="Q331"/>
      <c r="R331"/>
      <c r="S331"/>
      <c r="U331"/>
      <c r="V331"/>
      <c r="W331"/>
      <c r="X331"/>
    </row>
    <row r="332" spans="1:24" x14ac:dyDescent="0.25">
      <c r="A332"/>
      <c r="B332"/>
      <c r="C332"/>
      <c r="D332"/>
      <c r="F332"/>
      <c r="G332"/>
      <c r="H332"/>
      <c r="I332"/>
      <c r="K332"/>
      <c r="L332"/>
      <c r="M332"/>
      <c r="N332"/>
      <c r="P332"/>
      <c r="Q332"/>
      <c r="R332"/>
      <c r="S332"/>
      <c r="U332"/>
      <c r="V332"/>
      <c r="W332"/>
      <c r="X332"/>
    </row>
    <row r="333" spans="1:24" x14ac:dyDescent="0.25">
      <c r="A333"/>
      <c r="B333"/>
      <c r="C333"/>
      <c r="D333"/>
      <c r="F333"/>
      <c r="G333"/>
      <c r="H333"/>
      <c r="I333"/>
      <c r="K333"/>
      <c r="L333"/>
      <c r="M333"/>
      <c r="N333"/>
      <c r="P333"/>
      <c r="Q333"/>
      <c r="R333"/>
      <c r="S333"/>
      <c r="U333"/>
      <c r="V333"/>
      <c r="W333"/>
      <c r="X333"/>
    </row>
    <row r="334" spans="1:24" x14ac:dyDescent="0.25">
      <c r="A334"/>
      <c r="B334"/>
      <c r="C334"/>
      <c r="D334"/>
      <c r="F334"/>
      <c r="G334"/>
      <c r="H334"/>
      <c r="I334"/>
      <c r="K334"/>
      <c r="L334"/>
      <c r="M334"/>
      <c r="N334"/>
      <c r="P334"/>
      <c r="Q334"/>
      <c r="R334"/>
      <c r="S334"/>
      <c r="U334"/>
      <c r="V334"/>
      <c r="W334"/>
      <c r="X334"/>
    </row>
    <row r="335" spans="1:24" x14ac:dyDescent="0.25">
      <c r="A335"/>
      <c r="B335"/>
      <c r="C335"/>
      <c r="D335"/>
      <c r="F335"/>
      <c r="G335"/>
      <c r="H335"/>
      <c r="I335"/>
      <c r="K335"/>
      <c r="L335"/>
      <c r="M335"/>
      <c r="N335"/>
      <c r="P335"/>
      <c r="Q335"/>
      <c r="R335"/>
      <c r="S335"/>
      <c r="U335"/>
      <c r="V335"/>
      <c r="W335"/>
      <c r="X335"/>
    </row>
    <row r="336" spans="1:24" x14ac:dyDescent="0.25">
      <c r="A336"/>
      <c r="B336"/>
      <c r="C336"/>
      <c r="D336"/>
      <c r="F336"/>
      <c r="G336"/>
      <c r="H336"/>
      <c r="I336"/>
      <c r="K336"/>
      <c r="L336"/>
      <c r="M336"/>
      <c r="N336"/>
      <c r="P336"/>
      <c r="Q336"/>
      <c r="R336"/>
      <c r="S336"/>
      <c r="U336"/>
      <c r="V336"/>
      <c r="W336"/>
      <c r="X336"/>
    </row>
    <row r="337" spans="1:24" x14ac:dyDescent="0.25">
      <c r="A337"/>
      <c r="B337"/>
      <c r="C337"/>
      <c r="D337"/>
      <c r="F337"/>
      <c r="G337"/>
      <c r="H337"/>
      <c r="I337"/>
      <c r="K337"/>
      <c r="L337"/>
      <c r="M337"/>
      <c r="N337"/>
      <c r="P337"/>
      <c r="Q337"/>
      <c r="R337"/>
      <c r="S337"/>
      <c r="U337"/>
      <c r="V337"/>
      <c r="W337"/>
      <c r="X337"/>
    </row>
    <row r="338" spans="1:24" x14ac:dyDescent="0.25">
      <c r="A338"/>
      <c r="B338"/>
      <c r="C338"/>
      <c r="D338"/>
      <c r="F338"/>
      <c r="G338"/>
      <c r="H338"/>
      <c r="I338"/>
      <c r="K338"/>
      <c r="L338"/>
      <c r="M338"/>
      <c r="N338"/>
      <c r="P338"/>
      <c r="Q338"/>
      <c r="R338"/>
      <c r="S338"/>
      <c r="U338"/>
      <c r="V338"/>
      <c r="W338"/>
      <c r="X338"/>
    </row>
    <row r="339" spans="1:24" x14ac:dyDescent="0.25">
      <c r="A339"/>
      <c r="B339"/>
      <c r="C339"/>
      <c r="D339"/>
      <c r="F339"/>
      <c r="G339"/>
      <c r="H339"/>
      <c r="I339"/>
      <c r="K339"/>
      <c r="L339"/>
      <c r="M339"/>
      <c r="N339"/>
      <c r="P339"/>
      <c r="Q339"/>
      <c r="R339"/>
      <c r="S339"/>
      <c r="U339"/>
      <c r="V339"/>
      <c r="W339"/>
      <c r="X339"/>
    </row>
    <row r="340" spans="1:24" x14ac:dyDescent="0.25">
      <c r="A340"/>
      <c r="B340"/>
      <c r="C340"/>
      <c r="D340"/>
      <c r="F340"/>
      <c r="G340"/>
      <c r="H340"/>
      <c r="I340"/>
      <c r="K340"/>
      <c r="L340"/>
      <c r="M340"/>
      <c r="N340"/>
      <c r="P340"/>
      <c r="Q340"/>
      <c r="R340"/>
      <c r="S340"/>
      <c r="U340"/>
      <c r="V340"/>
      <c r="W340"/>
      <c r="X340"/>
    </row>
    <row r="341" spans="1:24" x14ac:dyDescent="0.25">
      <c r="A341"/>
      <c r="B341"/>
      <c r="C341"/>
      <c r="D341"/>
      <c r="F341"/>
      <c r="G341"/>
      <c r="H341"/>
      <c r="I341"/>
      <c r="K341"/>
      <c r="L341"/>
      <c r="M341"/>
      <c r="N341"/>
      <c r="P341"/>
      <c r="Q341"/>
      <c r="R341"/>
      <c r="S341"/>
      <c r="U341"/>
      <c r="V341"/>
      <c r="W341"/>
      <c r="X341"/>
    </row>
    <row r="342" spans="1:24" x14ac:dyDescent="0.25">
      <c r="A342"/>
      <c r="B342"/>
      <c r="C342"/>
      <c r="D342"/>
      <c r="F342"/>
      <c r="G342"/>
      <c r="H342"/>
      <c r="I342"/>
      <c r="K342"/>
      <c r="L342"/>
      <c r="M342"/>
      <c r="N342"/>
      <c r="P342"/>
      <c r="Q342"/>
      <c r="R342"/>
      <c r="S342"/>
      <c r="U342"/>
      <c r="V342"/>
      <c r="W342"/>
      <c r="X342"/>
    </row>
    <row r="343" spans="1:24" x14ac:dyDescent="0.25">
      <c r="A343"/>
      <c r="B343"/>
      <c r="C343"/>
      <c r="D343"/>
      <c r="F343"/>
      <c r="G343"/>
      <c r="H343"/>
      <c r="I343"/>
      <c r="K343"/>
      <c r="L343"/>
      <c r="M343"/>
      <c r="N343"/>
      <c r="P343"/>
      <c r="Q343"/>
      <c r="R343"/>
      <c r="S343"/>
      <c r="U343"/>
      <c r="V343"/>
      <c r="W343"/>
      <c r="X343"/>
    </row>
    <row r="344" spans="1:24" x14ac:dyDescent="0.25">
      <c r="A344"/>
      <c r="B344"/>
      <c r="C344"/>
      <c r="D344"/>
      <c r="F344"/>
      <c r="G344"/>
      <c r="H344"/>
      <c r="I344"/>
      <c r="K344"/>
      <c r="L344"/>
      <c r="M344"/>
      <c r="N344"/>
      <c r="P344"/>
      <c r="Q344"/>
      <c r="R344"/>
      <c r="S344"/>
      <c r="U344"/>
      <c r="V344"/>
      <c r="W344"/>
      <c r="X344"/>
    </row>
    <row r="345" spans="1:24" x14ac:dyDescent="0.25">
      <c r="A345"/>
      <c r="B345"/>
      <c r="C345"/>
      <c r="D345"/>
      <c r="F345"/>
      <c r="G345"/>
      <c r="H345"/>
      <c r="I345"/>
      <c r="K345"/>
      <c r="L345"/>
      <c r="M345"/>
      <c r="N345"/>
      <c r="P345"/>
      <c r="Q345"/>
      <c r="R345"/>
      <c r="S345"/>
      <c r="U345"/>
      <c r="V345"/>
      <c r="W345"/>
      <c r="X345"/>
    </row>
    <row r="346" spans="1:24" x14ac:dyDescent="0.25">
      <c r="A346"/>
      <c r="B346"/>
      <c r="C346"/>
      <c r="D346"/>
      <c r="F346"/>
      <c r="G346"/>
      <c r="H346"/>
      <c r="I346"/>
      <c r="K346"/>
      <c r="L346"/>
      <c r="M346"/>
      <c r="N346"/>
      <c r="P346"/>
      <c r="Q346"/>
      <c r="R346"/>
      <c r="S346"/>
      <c r="U346"/>
      <c r="V346"/>
      <c r="W346"/>
      <c r="X346"/>
    </row>
    <row r="347" spans="1:24" x14ac:dyDescent="0.25">
      <c r="A347"/>
      <c r="B347"/>
      <c r="C347"/>
      <c r="D347"/>
      <c r="F347"/>
      <c r="G347"/>
      <c r="H347"/>
      <c r="I347"/>
      <c r="K347"/>
      <c r="L347"/>
      <c r="M347"/>
      <c r="N347"/>
      <c r="P347"/>
      <c r="Q347"/>
      <c r="R347"/>
      <c r="S347"/>
      <c r="U347"/>
      <c r="V347"/>
      <c r="W347"/>
      <c r="X347"/>
    </row>
    <row r="348" spans="1:24" x14ac:dyDescent="0.25">
      <c r="A348"/>
      <c r="B348"/>
      <c r="C348"/>
      <c r="D348"/>
      <c r="F348"/>
      <c r="G348"/>
      <c r="H348"/>
      <c r="I348"/>
      <c r="K348"/>
      <c r="L348"/>
      <c r="M348"/>
      <c r="N348"/>
      <c r="P348"/>
      <c r="Q348"/>
      <c r="R348"/>
      <c r="S348"/>
      <c r="U348"/>
      <c r="V348"/>
      <c r="W348"/>
      <c r="X348"/>
    </row>
    <row r="349" spans="1:24" x14ac:dyDescent="0.25">
      <c r="A349"/>
      <c r="B349"/>
      <c r="C349"/>
      <c r="D349"/>
      <c r="F349"/>
      <c r="G349"/>
      <c r="H349"/>
      <c r="I349"/>
      <c r="K349"/>
      <c r="L349"/>
      <c r="M349"/>
      <c r="N349"/>
      <c r="P349"/>
      <c r="Q349"/>
      <c r="R349"/>
      <c r="S349"/>
      <c r="U349"/>
      <c r="V349"/>
      <c r="W349"/>
      <c r="X349"/>
    </row>
    <row r="350" spans="1:24" x14ac:dyDescent="0.25">
      <c r="A350"/>
      <c r="B350"/>
      <c r="C350"/>
      <c r="D350"/>
      <c r="F350"/>
      <c r="G350"/>
      <c r="H350"/>
      <c r="I350"/>
      <c r="K350"/>
      <c r="L350"/>
      <c r="M350"/>
      <c r="N350"/>
      <c r="P350"/>
      <c r="Q350"/>
      <c r="R350"/>
      <c r="S350"/>
      <c r="U350"/>
      <c r="V350"/>
      <c r="W350"/>
      <c r="X350"/>
    </row>
    <row r="351" spans="1:24" x14ac:dyDescent="0.25">
      <c r="A351"/>
      <c r="B351"/>
      <c r="C351"/>
      <c r="D351"/>
      <c r="F351"/>
      <c r="G351"/>
      <c r="H351"/>
      <c r="I351"/>
      <c r="K351"/>
      <c r="L351"/>
      <c r="M351"/>
      <c r="N351"/>
      <c r="P351"/>
      <c r="Q351"/>
      <c r="R351"/>
      <c r="S351"/>
      <c r="U351"/>
      <c r="V351"/>
      <c r="W351"/>
      <c r="X351"/>
    </row>
    <row r="352" spans="1:24" x14ac:dyDescent="0.25">
      <c r="A352"/>
      <c r="B352"/>
      <c r="C352"/>
      <c r="D352"/>
      <c r="F352"/>
      <c r="G352"/>
      <c r="H352"/>
      <c r="I352"/>
      <c r="K352"/>
      <c r="L352"/>
      <c r="M352"/>
      <c r="N352"/>
      <c r="P352"/>
      <c r="Q352"/>
      <c r="R352"/>
      <c r="S352"/>
      <c r="U352"/>
      <c r="V352"/>
      <c r="W352"/>
      <c r="X352"/>
    </row>
    <row r="353" spans="1:24" x14ac:dyDescent="0.25">
      <c r="A353"/>
      <c r="B353"/>
      <c r="C353"/>
      <c r="D353"/>
      <c r="F353"/>
      <c r="G353"/>
      <c r="H353"/>
      <c r="I353"/>
      <c r="K353"/>
      <c r="L353"/>
      <c r="M353"/>
      <c r="N353"/>
      <c r="P353"/>
      <c r="Q353"/>
      <c r="R353"/>
      <c r="S353"/>
      <c r="U353"/>
      <c r="V353"/>
      <c r="W353"/>
      <c r="X353"/>
    </row>
    <row r="354" spans="1:24" x14ac:dyDescent="0.25">
      <c r="A354"/>
      <c r="B354"/>
      <c r="C354"/>
      <c r="D354"/>
      <c r="F354"/>
      <c r="G354"/>
      <c r="H354"/>
      <c r="I354"/>
      <c r="K354"/>
      <c r="L354"/>
      <c r="M354"/>
      <c r="N354"/>
      <c r="P354"/>
      <c r="Q354"/>
      <c r="R354"/>
      <c r="S354"/>
      <c r="U354"/>
      <c r="V354"/>
      <c r="W354"/>
      <c r="X354"/>
    </row>
    <row r="355" spans="1:24" x14ac:dyDescent="0.25">
      <c r="A355"/>
      <c r="B355"/>
      <c r="C355"/>
      <c r="D355"/>
      <c r="F355"/>
      <c r="G355"/>
      <c r="H355"/>
      <c r="I355"/>
      <c r="K355"/>
      <c r="L355"/>
      <c r="M355"/>
      <c r="N355"/>
      <c r="P355"/>
      <c r="Q355"/>
      <c r="R355"/>
      <c r="S355"/>
      <c r="U355"/>
      <c r="V355"/>
      <c r="W355"/>
      <c r="X355"/>
    </row>
    <row r="356" spans="1:24" x14ac:dyDescent="0.25">
      <c r="A356"/>
      <c r="B356"/>
      <c r="C356"/>
      <c r="D356"/>
      <c r="F356"/>
      <c r="G356"/>
      <c r="H356"/>
      <c r="I356"/>
      <c r="K356"/>
      <c r="L356"/>
      <c r="M356"/>
      <c r="N356"/>
      <c r="P356"/>
      <c r="Q356"/>
      <c r="R356"/>
      <c r="S356"/>
      <c r="U356"/>
      <c r="V356"/>
      <c r="W356"/>
      <c r="X356"/>
    </row>
    <row r="357" spans="1:24" x14ac:dyDescent="0.25">
      <c r="A357"/>
      <c r="B357"/>
      <c r="C357"/>
      <c r="D357"/>
      <c r="F357"/>
      <c r="G357"/>
      <c r="H357"/>
      <c r="I357"/>
      <c r="K357"/>
      <c r="L357"/>
      <c r="M357"/>
      <c r="N357"/>
      <c r="P357"/>
      <c r="Q357"/>
      <c r="R357"/>
      <c r="S357"/>
      <c r="U357"/>
      <c r="V357"/>
      <c r="W357"/>
      <c r="X357"/>
    </row>
    <row r="358" spans="1:24" x14ac:dyDescent="0.25">
      <c r="A358"/>
      <c r="B358"/>
      <c r="C358"/>
      <c r="D358"/>
      <c r="F358"/>
      <c r="G358"/>
      <c r="H358"/>
      <c r="I358"/>
      <c r="K358"/>
      <c r="L358"/>
      <c r="M358"/>
      <c r="N358"/>
      <c r="P358"/>
      <c r="Q358"/>
      <c r="R358"/>
      <c r="S358"/>
      <c r="U358"/>
      <c r="V358"/>
      <c r="W358"/>
      <c r="X358"/>
    </row>
    <row r="359" spans="1:24" x14ac:dyDescent="0.25">
      <c r="A359"/>
      <c r="B359"/>
      <c r="C359"/>
      <c r="D359"/>
      <c r="F359"/>
      <c r="G359"/>
      <c r="H359"/>
      <c r="I359"/>
      <c r="K359"/>
      <c r="L359"/>
      <c r="M359"/>
      <c r="N359"/>
      <c r="P359"/>
      <c r="Q359"/>
      <c r="R359"/>
      <c r="S359"/>
      <c r="U359"/>
      <c r="V359"/>
      <c r="W359"/>
      <c r="X359"/>
    </row>
    <row r="360" spans="1:24" x14ac:dyDescent="0.25">
      <c r="A360"/>
      <c r="B360"/>
      <c r="C360"/>
      <c r="D360"/>
      <c r="F360"/>
      <c r="G360"/>
      <c r="H360"/>
      <c r="I360"/>
      <c r="K360"/>
      <c r="L360"/>
      <c r="M360"/>
      <c r="N360"/>
      <c r="P360"/>
      <c r="Q360"/>
      <c r="R360"/>
      <c r="S360"/>
      <c r="U360"/>
      <c r="V360"/>
      <c r="W360"/>
      <c r="X360"/>
    </row>
    <row r="361" spans="1:24" x14ac:dyDescent="0.25">
      <c r="A361"/>
      <c r="B361"/>
      <c r="C361"/>
      <c r="D361"/>
      <c r="F361"/>
      <c r="G361"/>
      <c r="H361"/>
      <c r="I361"/>
      <c r="K361"/>
      <c r="L361"/>
      <c r="M361"/>
      <c r="N361"/>
      <c r="P361"/>
      <c r="Q361"/>
      <c r="R361"/>
      <c r="S361"/>
      <c r="U361"/>
      <c r="V361"/>
      <c r="W361"/>
      <c r="X361"/>
    </row>
    <row r="362" spans="1:24" x14ac:dyDescent="0.25">
      <c r="A362"/>
      <c r="B362"/>
      <c r="C362"/>
      <c r="D362"/>
      <c r="F362"/>
      <c r="G362"/>
      <c r="H362"/>
      <c r="I362"/>
      <c r="K362"/>
      <c r="L362"/>
      <c r="M362"/>
      <c r="N362"/>
      <c r="P362"/>
      <c r="Q362"/>
      <c r="R362"/>
      <c r="S362"/>
      <c r="U362"/>
      <c r="V362"/>
      <c r="W362"/>
      <c r="X362"/>
    </row>
    <row r="363" spans="1:24" x14ac:dyDescent="0.25">
      <c r="A363"/>
      <c r="B363"/>
      <c r="C363"/>
      <c r="D363"/>
      <c r="F363"/>
      <c r="G363"/>
      <c r="H363"/>
      <c r="I363"/>
      <c r="K363"/>
      <c r="L363"/>
      <c r="M363"/>
      <c r="N363"/>
      <c r="P363"/>
      <c r="Q363"/>
      <c r="R363"/>
      <c r="S363"/>
      <c r="U363"/>
      <c r="V363"/>
      <c r="W363"/>
      <c r="X363"/>
    </row>
    <row r="364" spans="1:24" x14ac:dyDescent="0.25">
      <c r="A364"/>
      <c r="B364"/>
      <c r="C364"/>
      <c r="D364"/>
      <c r="F364"/>
      <c r="G364"/>
      <c r="H364"/>
      <c r="I364"/>
      <c r="K364"/>
      <c r="L364"/>
      <c r="M364"/>
      <c r="N364"/>
      <c r="P364"/>
      <c r="Q364"/>
      <c r="R364"/>
      <c r="S364"/>
      <c r="U364"/>
      <c r="V364"/>
      <c r="W364"/>
      <c r="X364"/>
    </row>
    <row r="365" spans="1:24" x14ac:dyDescent="0.25">
      <c r="A365"/>
      <c r="B365"/>
      <c r="C365"/>
      <c r="D365"/>
      <c r="F365"/>
      <c r="G365"/>
      <c r="H365"/>
      <c r="I365"/>
      <c r="K365"/>
      <c r="L365"/>
      <c r="M365"/>
      <c r="N365"/>
      <c r="P365"/>
      <c r="Q365"/>
      <c r="R365"/>
      <c r="S365"/>
      <c r="U365"/>
      <c r="V365"/>
      <c r="W365"/>
      <c r="X365"/>
    </row>
    <row r="366" spans="1:24" x14ac:dyDescent="0.25">
      <c r="A366"/>
      <c r="B366"/>
      <c r="C366"/>
      <c r="D366"/>
      <c r="F366"/>
      <c r="G366"/>
      <c r="H366"/>
      <c r="I366"/>
      <c r="K366"/>
      <c r="L366"/>
      <c r="M366"/>
      <c r="N366"/>
      <c r="P366"/>
      <c r="Q366"/>
      <c r="R366"/>
      <c r="S366"/>
      <c r="U366"/>
      <c r="V366"/>
      <c r="W366"/>
      <c r="X366"/>
    </row>
    <row r="367" spans="1:24" x14ac:dyDescent="0.25">
      <c r="A367"/>
      <c r="B367"/>
      <c r="C367"/>
      <c r="D367"/>
      <c r="F367"/>
      <c r="G367"/>
      <c r="H367"/>
      <c r="I367"/>
      <c r="K367"/>
      <c r="L367"/>
      <c r="M367"/>
      <c r="N367"/>
      <c r="P367"/>
      <c r="Q367"/>
      <c r="R367"/>
      <c r="S367"/>
      <c r="U367"/>
      <c r="V367"/>
      <c r="W367"/>
      <c r="X367"/>
    </row>
    <row r="368" spans="1:24" x14ac:dyDescent="0.25">
      <c r="A368"/>
      <c r="B368"/>
      <c r="C368"/>
      <c r="D368"/>
      <c r="F368"/>
      <c r="G368"/>
      <c r="H368"/>
      <c r="I368"/>
      <c r="K368"/>
      <c r="L368"/>
      <c r="M368"/>
      <c r="N368"/>
      <c r="P368"/>
      <c r="Q368"/>
      <c r="R368"/>
      <c r="S368"/>
      <c r="U368"/>
      <c r="V368"/>
      <c r="W368"/>
      <c r="X368"/>
    </row>
    <row r="369" spans="1:24" x14ac:dyDescent="0.25">
      <c r="A369"/>
      <c r="B369"/>
      <c r="C369"/>
      <c r="D369"/>
      <c r="F369"/>
      <c r="G369"/>
      <c r="H369"/>
      <c r="I369"/>
      <c r="K369"/>
      <c r="L369"/>
      <c r="M369"/>
      <c r="N369"/>
      <c r="P369"/>
      <c r="Q369"/>
      <c r="R369"/>
      <c r="S369"/>
      <c r="U369"/>
      <c r="V369"/>
      <c r="W369"/>
      <c r="X369"/>
    </row>
    <row r="370" spans="1:24" x14ac:dyDescent="0.25">
      <c r="A370"/>
      <c r="B370"/>
      <c r="C370"/>
      <c r="D370"/>
      <c r="F370"/>
      <c r="G370"/>
      <c r="H370"/>
      <c r="I370"/>
      <c r="K370"/>
      <c r="L370"/>
      <c r="M370"/>
      <c r="N370"/>
      <c r="P370"/>
      <c r="Q370"/>
      <c r="R370"/>
      <c r="S370"/>
      <c r="U370"/>
      <c r="V370"/>
      <c r="W370"/>
      <c r="X370"/>
    </row>
    <row r="371" spans="1:24" x14ac:dyDescent="0.25">
      <c r="A371"/>
      <c r="B371"/>
      <c r="C371"/>
      <c r="D371"/>
      <c r="F371"/>
      <c r="G371"/>
      <c r="H371"/>
      <c r="I371"/>
      <c r="K371"/>
      <c r="L371"/>
      <c r="M371"/>
      <c r="N371"/>
      <c r="P371"/>
      <c r="Q371"/>
      <c r="R371"/>
      <c r="S371"/>
      <c r="U371"/>
      <c r="V371"/>
      <c r="W371"/>
      <c r="X371"/>
    </row>
    <row r="372" spans="1:24" x14ac:dyDescent="0.25">
      <c r="A372"/>
      <c r="B372"/>
      <c r="C372"/>
      <c r="D372"/>
      <c r="F372"/>
      <c r="G372"/>
      <c r="H372"/>
      <c r="I372"/>
      <c r="K372"/>
      <c r="L372"/>
      <c r="M372"/>
      <c r="N372"/>
      <c r="P372"/>
      <c r="Q372"/>
      <c r="R372"/>
      <c r="S372"/>
      <c r="U372"/>
      <c r="V372"/>
      <c r="W372"/>
      <c r="X372"/>
    </row>
    <row r="373" spans="1:24" x14ac:dyDescent="0.25">
      <c r="A373"/>
      <c r="B373"/>
      <c r="C373"/>
      <c r="D373"/>
      <c r="F373"/>
      <c r="G373"/>
      <c r="H373"/>
      <c r="I373"/>
      <c r="K373"/>
      <c r="L373"/>
      <c r="M373"/>
      <c r="N373"/>
      <c r="P373"/>
      <c r="Q373"/>
      <c r="R373"/>
      <c r="S373"/>
      <c r="U373"/>
      <c r="V373"/>
      <c r="W373"/>
      <c r="X373"/>
    </row>
    <row r="374" spans="1:24" x14ac:dyDescent="0.25">
      <c r="A374"/>
      <c r="B374"/>
      <c r="C374"/>
      <c r="D374"/>
      <c r="F374"/>
      <c r="G374"/>
      <c r="H374"/>
      <c r="I374"/>
      <c r="K374"/>
      <c r="L374"/>
      <c r="M374"/>
      <c r="N374"/>
      <c r="P374"/>
      <c r="Q374"/>
      <c r="R374"/>
      <c r="S374"/>
      <c r="U374"/>
      <c r="V374"/>
      <c r="W374"/>
      <c r="X374"/>
    </row>
    <row r="375" spans="1:24" x14ac:dyDescent="0.25">
      <c r="A375"/>
      <c r="B375"/>
      <c r="C375"/>
      <c r="D375"/>
      <c r="F375"/>
      <c r="G375"/>
      <c r="H375"/>
      <c r="I375"/>
      <c r="K375"/>
      <c r="L375"/>
      <c r="M375"/>
      <c r="N375"/>
      <c r="P375"/>
      <c r="Q375"/>
      <c r="R375"/>
      <c r="S375"/>
      <c r="U375"/>
      <c r="V375"/>
      <c r="W375"/>
      <c r="X375"/>
    </row>
    <row r="376" spans="1:24" x14ac:dyDescent="0.25">
      <c r="A376"/>
      <c r="B376"/>
      <c r="C376"/>
      <c r="D376"/>
      <c r="F376"/>
      <c r="G376"/>
      <c r="H376"/>
      <c r="I376"/>
      <c r="K376"/>
      <c r="L376"/>
      <c r="M376"/>
      <c r="N376"/>
      <c r="P376"/>
      <c r="Q376"/>
      <c r="R376"/>
      <c r="S376"/>
      <c r="U376"/>
      <c r="V376"/>
      <c r="W376"/>
      <c r="X376"/>
    </row>
    <row r="377" spans="1:24" x14ac:dyDescent="0.25">
      <c r="A377"/>
      <c r="B377"/>
      <c r="C377"/>
      <c r="D377"/>
      <c r="F377"/>
      <c r="G377"/>
      <c r="H377"/>
      <c r="I377"/>
      <c r="K377"/>
      <c r="L377"/>
      <c r="M377"/>
      <c r="N377"/>
      <c r="P377"/>
      <c r="Q377"/>
      <c r="R377"/>
      <c r="S377"/>
      <c r="U377"/>
      <c r="V377"/>
      <c r="W377"/>
      <c r="X377"/>
    </row>
    <row r="378" spans="1:24" x14ac:dyDescent="0.25">
      <c r="A378"/>
      <c r="B378"/>
      <c r="C378"/>
      <c r="D378"/>
      <c r="F378"/>
      <c r="G378"/>
      <c r="H378"/>
      <c r="I378"/>
      <c r="K378"/>
      <c r="L378"/>
      <c r="M378"/>
      <c r="N378"/>
      <c r="P378"/>
      <c r="Q378"/>
      <c r="R378"/>
      <c r="S378"/>
      <c r="U378"/>
      <c r="V378"/>
      <c r="W378"/>
      <c r="X378"/>
    </row>
    <row r="379" spans="1:24" x14ac:dyDescent="0.25">
      <c r="A379"/>
      <c r="B379"/>
      <c r="C379"/>
      <c r="D379"/>
      <c r="F379"/>
      <c r="G379"/>
      <c r="H379"/>
      <c r="I379"/>
      <c r="K379"/>
      <c r="L379"/>
      <c r="M379"/>
      <c r="N379"/>
      <c r="P379"/>
      <c r="Q379"/>
      <c r="R379"/>
      <c r="S379"/>
      <c r="U379"/>
      <c r="V379"/>
      <c r="W379"/>
      <c r="X379"/>
    </row>
    <row r="380" spans="1:24" x14ac:dyDescent="0.25">
      <c r="A380"/>
      <c r="B380"/>
      <c r="C380"/>
      <c r="D380"/>
      <c r="F380"/>
      <c r="G380"/>
      <c r="H380"/>
      <c r="I380"/>
      <c r="K380"/>
      <c r="L380"/>
      <c r="M380"/>
      <c r="N380"/>
      <c r="P380"/>
      <c r="Q380"/>
      <c r="R380"/>
      <c r="S380"/>
      <c r="U380"/>
      <c r="V380"/>
      <c r="W380"/>
      <c r="X380"/>
    </row>
    <row r="381" spans="1:24" x14ac:dyDescent="0.25">
      <c r="A381"/>
      <c r="B381"/>
      <c r="C381"/>
      <c r="D381"/>
      <c r="F381"/>
      <c r="G381"/>
      <c r="H381"/>
      <c r="I381"/>
      <c r="K381"/>
      <c r="L381"/>
      <c r="M381"/>
      <c r="N381"/>
      <c r="P381"/>
      <c r="Q381"/>
      <c r="R381"/>
      <c r="S381"/>
      <c r="U381"/>
      <c r="V381"/>
      <c r="W381"/>
      <c r="X381"/>
    </row>
    <row r="382" spans="1:24" x14ac:dyDescent="0.25">
      <c r="A382"/>
      <c r="B382"/>
      <c r="C382"/>
      <c r="D382"/>
      <c r="F382"/>
      <c r="G382"/>
      <c r="H382"/>
      <c r="I382"/>
      <c r="K382"/>
      <c r="L382"/>
      <c r="M382"/>
      <c r="N382"/>
      <c r="P382"/>
      <c r="Q382"/>
      <c r="R382"/>
      <c r="S382"/>
      <c r="U382"/>
      <c r="V382"/>
      <c r="W382"/>
      <c r="X382"/>
    </row>
    <row r="383" spans="1:24" x14ac:dyDescent="0.25">
      <c r="A383"/>
      <c r="B383"/>
      <c r="C383"/>
      <c r="D383"/>
      <c r="F383"/>
      <c r="G383"/>
      <c r="H383"/>
      <c r="I383"/>
      <c r="K383"/>
      <c r="L383"/>
      <c r="M383"/>
      <c r="N383"/>
      <c r="P383"/>
      <c r="Q383"/>
      <c r="R383"/>
      <c r="S383"/>
      <c r="U383"/>
      <c r="V383"/>
      <c r="W383"/>
      <c r="X383"/>
    </row>
    <row r="384" spans="1:24" x14ac:dyDescent="0.25">
      <c r="A384"/>
      <c r="B384"/>
      <c r="C384"/>
      <c r="D384"/>
      <c r="F384"/>
      <c r="G384"/>
      <c r="H384"/>
      <c r="I384"/>
      <c r="K384"/>
      <c r="L384"/>
      <c r="M384"/>
      <c r="N384"/>
      <c r="P384"/>
      <c r="Q384"/>
      <c r="R384"/>
      <c r="S384"/>
      <c r="U384"/>
      <c r="V384"/>
      <c r="W384"/>
      <c r="X384"/>
    </row>
    <row r="385" spans="1:24" x14ac:dyDescent="0.25">
      <c r="A385"/>
      <c r="B385"/>
      <c r="C385"/>
      <c r="D385"/>
      <c r="F385"/>
      <c r="G385"/>
      <c r="H385"/>
      <c r="I385"/>
      <c r="K385"/>
      <c r="L385"/>
      <c r="M385"/>
      <c r="N385"/>
      <c r="P385"/>
      <c r="Q385"/>
      <c r="R385"/>
      <c r="S385"/>
      <c r="U385"/>
      <c r="V385"/>
      <c r="W385"/>
      <c r="X385"/>
    </row>
    <row r="386" spans="1:24" x14ac:dyDescent="0.25">
      <c r="A386"/>
      <c r="B386"/>
      <c r="C386"/>
      <c r="D386"/>
      <c r="F386"/>
      <c r="G386"/>
      <c r="H386"/>
      <c r="I386"/>
      <c r="K386"/>
      <c r="L386"/>
      <c r="M386"/>
      <c r="N386"/>
      <c r="P386"/>
      <c r="Q386"/>
      <c r="R386"/>
      <c r="S386"/>
      <c r="U386"/>
      <c r="V386"/>
      <c r="W386"/>
      <c r="X386"/>
    </row>
    <row r="387" spans="1:24" x14ac:dyDescent="0.25">
      <c r="A387"/>
      <c r="B387"/>
      <c r="C387"/>
      <c r="D387"/>
      <c r="F387"/>
      <c r="G387"/>
      <c r="H387"/>
      <c r="I387"/>
      <c r="K387"/>
      <c r="L387"/>
      <c r="M387"/>
      <c r="N387"/>
      <c r="P387"/>
      <c r="Q387"/>
      <c r="R387"/>
      <c r="S387"/>
      <c r="U387"/>
      <c r="V387"/>
      <c r="W387"/>
      <c r="X387"/>
    </row>
    <row r="388" spans="1:24" x14ac:dyDescent="0.25">
      <c r="A388"/>
      <c r="B388"/>
      <c r="C388"/>
      <c r="D388"/>
      <c r="F388"/>
      <c r="G388"/>
      <c r="H388"/>
      <c r="I388"/>
      <c r="K388"/>
      <c r="L388"/>
      <c r="M388"/>
      <c r="N388"/>
      <c r="P388"/>
      <c r="Q388"/>
      <c r="R388"/>
      <c r="S388"/>
      <c r="U388"/>
      <c r="V388"/>
      <c r="W388"/>
      <c r="X388"/>
    </row>
    <row r="389" spans="1:24" x14ac:dyDescent="0.25">
      <c r="A389"/>
      <c r="B389"/>
      <c r="C389"/>
      <c r="D389"/>
      <c r="F389"/>
      <c r="G389"/>
      <c r="H389"/>
      <c r="I389"/>
      <c r="K389"/>
      <c r="L389"/>
      <c r="M389"/>
      <c r="N389"/>
      <c r="P389"/>
      <c r="Q389"/>
      <c r="R389"/>
      <c r="S389"/>
      <c r="U389"/>
      <c r="V389"/>
      <c r="W389"/>
      <c r="X389"/>
    </row>
    <row r="390" spans="1:24" x14ac:dyDescent="0.25">
      <c r="A390"/>
      <c r="B390"/>
      <c r="C390"/>
      <c r="D390"/>
      <c r="F390"/>
      <c r="G390"/>
      <c r="H390"/>
      <c r="I390"/>
      <c r="K390"/>
      <c r="L390"/>
      <c r="M390"/>
      <c r="N390"/>
      <c r="P390"/>
      <c r="Q390"/>
      <c r="R390"/>
      <c r="S390"/>
      <c r="U390"/>
      <c r="V390"/>
      <c r="W390"/>
      <c r="X390"/>
    </row>
    <row r="391" spans="1:24" x14ac:dyDescent="0.25">
      <c r="A391"/>
      <c r="B391"/>
      <c r="C391"/>
      <c r="D391"/>
      <c r="F391"/>
      <c r="G391"/>
      <c r="H391"/>
      <c r="I391"/>
      <c r="K391"/>
      <c r="L391"/>
      <c r="M391"/>
      <c r="N391"/>
      <c r="P391"/>
      <c r="Q391"/>
      <c r="R391"/>
      <c r="S391"/>
      <c r="U391"/>
      <c r="V391"/>
      <c r="W391"/>
      <c r="X391"/>
    </row>
    <row r="392" spans="1:24" x14ac:dyDescent="0.25">
      <c r="A392"/>
      <c r="B392"/>
      <c r="C392"/>
      <c r="D392"/>
      <c r="F392"/>
      <c r="G392"/>
      <c r="H392"/>
      <c r="I392"/>
      <c r="K392"/>
      <c r="L392"/>
      <c r="M392"/>
      <c r="N392"/>
      <c r="P392"/>
      <c r="Q392"/>
      <c r="R392"/>
      <c r="S392"/>
      <c r="U392"/>
      <c r="V392"/>
      <c r="W392"/>
      <c r="X392"/>
    </row>
    <row r="393" spans="1:24" x14ac:dyDescent="0.25">
      <c r="A393"/>
      <c r="B393"/>
      <c r="C393"/>
      <c r="D393"/>
      <c r="F393"/>
      <c r="G393"/>
      <c r="H393"/>
      <c r="I393"/>
      <c r="K393"/>
      <c r="L393"/>
      <c r="M393"/>
      <c r="N393"/>
      <c r="P393"/>
      <c r="Q393"/>
      <c r="R393"/>
      <c r="S393"/>
      <c r="U393"/>
      <c r="V393"/>
      <c r="W393"/>
      <c r="X393"/>
    </row>
    <row r="394" spans="1:24" x14ac:dyDescent="0.25">
      <c r="A394"/>
      <c r="B394"/>
      <c r="C394"/>
      <c r="D394"/>
      <c r="F394"/>
      <c r="G394"/>
      <c r="H394"/>
      <c r="I394"/>
      <c r="K394"/>
      <c r="L394"/>
      <c r="M394"/>
      <c r="N394"/>
      <c r="P394"/>
      <c r="Q394"/>
      <c r="R394"/>
      <c r="S394"/>
      <c r="U394"/>
      <c r="V394"/>
      <c r="W394"/>
      <c r="X394"/>
    </row>
    <row r="395" spans="1:24" x14ac:dyDescent="0.25">
      <c r="A395"/>
      <c r="B395"/>
      <c r="C395"/>
      <c r="D395"/>
      <c r="F395"/>
      <c r="G395"/>
      <c r="H395"/>
      <c r="I395"/>
      <c r="K395"/>
      <c r="L395"/>
      <c r="M395"/>
      <c r="N395"/>
      <c r="P395"/>
      <c r="Q395"/>
      <c r="R395"/>
      <c r="S395"/>
      <c r="U395"/>
      <c r="V395"/>
      <c r="W395"/>
      <c r="X395"/>
    </row>
    <row r="396" spans="1:24" x14ac:dyDescent="0.25">
      <c r="A396"/>
      <c r="B396"/>
      <c r="C396"/>
      <c r="D396"/>
      <c r="F396"/>
      <c r="G396"/>
      <c r="H396"/>
      <c r="I396"/>
      <c r="K396"/>
      <c r="L396"/>
      <c r="M396"/>
      <c r="N396"/>
      <c r="P396"/>
      <c r="Q396"/>
      <c r="R396"/>
      <c r="S396"/>
      <c r="U396"/>
      <c r="V396"/>
      <c r="W396"/>
      <c r="X396"/>
    </row>
    <row r="397" spans="1:24" x14ac:dyDescent="0.25">
      <c r="A397"/>
      <c r="B397"/>
      <c r="C397"/>
      <c r="D397"/>
      <c r="F397"/>
      <c r="G397"/>
      <c r="H397"/>
      <c r="I397"/>
      <c r="K397"/>
      <c r="L397"/>
      <c r="M397"/>
      <c r="N397"/>
      <c r="P397"/>
      <c r="Q397"/>
      <c r="R397"/>
      <c r="S397"/>
      <c r="U397"/>
      <c r="V397"/>
      <c r="W397"/>
      <c r="X397"/>
    </row>
    <row r="398" spans="1:24" x14ac:dyDescent="0.25">
      <c r="A398"/>
      <c r="B398"/>
      <c r="C398"/>
      <c r="D398"/>
      <c r="F398"/>
      <c r="G398"/>
      <c r="H398"/>
      <c r="I398"/>
      <c r="K398"/>
      <c r="L398"/>
      <c r="M398"/>
      <c r="N398"/>
      <c r="P398"/>
      <c r="Q398"/>
      <c r="R398"/>
      <c r="S398"/>
      <c r="U398"/>
      <c r="V398"/>
      <c r="W398"/>
      <c r="X398"/>
    </row>
    <row r="399" spans="1:24" x14ac:dyDescent="0.25">
      <c r="A399"/>
      <c r="B399"/>
      <c r="C399"/>
      <c r="D399"/>
      <c r="F399"/>
      <c r="G399"/>
      <c r="H399"/>
      <c r="I399"/>
      <c r="K399"/>
      <c r="L399"/>
      <c r="M399"/>
      <c r="N399"/>
      <c r="P399"/>
      <c r="Q399"/>
      <c r="R399"/>
      <c r="S399"/>
      <c r="U399"/>
      <c r="V399"/>
      <c r="W399"/>
      <c r="X399"/>
    </row>
    <row r="400" spans="1:24" x14ac:dyDescent="0.25">
      <c r="A400"/>
      <c r="B400"/>
      <c r="C400"/>
      <c r="D400"/>
      <c r="F400"/>
      <c r="G400"/>
      <c r="H400"/>
      <c r="I400"/>
      <c r="K400"/>
      <c r="L400"/>
      <c r="M400"/>
      <c r="N400"/>
      <c r="P400"/>
      <c r="Q400"/>
      <c r="R400"/>
      <c r="S400"/>
      <c r="U400"/>
      <c r="V400"/>
      <c r="W400"/>
      <c r="X400"/>
    </row>
    <row r="401" spans="1:24" x14ac:dyDescent="0.25">
      <c r="A401"/>
      <c r="B401"/>
      <c r="C401"/>
      <c r="D401"/>
      <c r="F401"/>
      <c r="G401"/>
      <c r="H401"/>
      <c r="I401"/>
      <c r="K401"/>
      <c r="L401"/>
      <c r="M401"/>
      <c r="N401"/>
      <c r="P401"/>
      <c r="Q401"/>
      <c r="R401"/>
      <c r="S401"/>
      <c r="U401"/>
      <c r="V401"/>
      <c r="W401"/>
      <c r="X401"/>
    </row>
    <row r="402" spans="1:24" x14ac:dyDescent="0.25">
      <c r="A402"/>
      <c r="B402"/>
      <c r="C402"/>
      <c r="D402"/>
      <c r="F402"/>
      <c r="G402"/>
      <c r="H402"/>
      <c r="I402"/>
      <c r="K402"/>
      <c r="L402"/>
      <c r="M402"/>
      <c r="N402"/>
      <c r="P402"/>
      <c r="Q402"/>
      <c r="R402"/>
      <c r="S402"/>
      <c r="U402"/>
      <c r="V402"/>
      <c r="W402"/>
      <c r="X402"/>
    </row>
    <row r="403" spans="1:24" x14ac:dyDescent="0.25">
      <c r="A403"/>
      <c r="B403"/>
      <c r="C403"/>
      <c r="D403"/>
      <c r="F403"/>
      <c r="G403"/>
      <c r="H403"/>
      <c r="I403"/>
      <c r="K403"/>
      <c r="L403"/>
      <c r="M403"/>
      <c r="N403"/>
      <c r="P403"/>
      <c r="Q403"/>
      <c r="R403"/>
      <c r="S403"/>
      <c r="U403"/>
      <c r="V403"/>
      <c r="W403"/>
      <c r="X403"/>
    </row>
    <row r="404" spans="1:24" x14ac:dyDescent="0.25">
      <c r="A404"/>
      <c r="B404"/>
      <c r="C404"/>
      <c r="D404"/>
      <c r="F404"/>
      <c r="G404"/>
      <c r="H404"/>
      <c r="I404"/>
      <c r="K404"/>
      <c r="L404"/>
      <c r="M404"/>
      <c r="N404"/>
      <c r="P404"/>
      <c r="Q404"/>
      <c r="R404"/>
      <c r="S404"/>
      <c r="U404"/>
      <c r="V404"/>
      <c r="W404"/>
      <c r="X404"/>
    </row>
    <row r="405" spans="1:24" x14ac:dyDescent="0.25">
      <c r="A405"/>
      <c r="B405"/>
      <c r="C405"/>
      <c r="D405"/>
      <c r="F405"/>
      <c r="G405"/>
      <c r="H405"/>
      <c r="I405"/>
      <c r="K405"/>
      <c r="L405"/>
      <c r="M405"/>
      <c r="N405"/>
      <c r="P405"/>
      <c r="Q405"/>
      <c r="R405"/>
      <c r="S405"/>
      <c r="U405"/>
      <c r="V405"/>
      <c r="W405"/>
      <c r="X405"/>
    </row>
    <row r="406" spans="1:24" x14ac:dyDescent="0.25">
      <c r="A406"/>
      <c r="B406"/>
      <c r="C406"/>
      <c r="D406"/>
      <c r="F406"/>
      <c r="G406"/>
      <c r="H406"/>
      <c r="I406"/>
      <c r="K406"/>
      <c r="L406"/>
      <c r="M406"/>
      <c r="N406"/>
      <c r="P406"/>
      <c r="Q406"/>
      <c r="R406"/>
      <c r="S406"/>
      <c r="U406"/>
      <c r="V406"/>
      <c r="W406"/>
      <c r="X406"/>
    </row>
    <row r="407" spans="1:24" x14ac:dyDescent="0.25">
      <c r="A407"/>
      <c r="B407"/>
      <c r="C407"/>
      <c r="D407"/>
      <c r="F407"/>
      <c r="G407"/>
      <c r="H407"/>
      <c r="I407"/>
      <c r="K407"/>
      <c r="L407"/>
      <c r="M407"/>
      <c r="N407"/>
      <c r="P407"/>
      <c r="Q407"/>
      <c r="R407"/>
      <c r="S407"/>
      <c r="U407"/>
      <c r="V407"/>
      <c r="W407"/>
      <c r="X407"/>
    </row>
    <row r="408" spans="1:24" x14ac:dyDescent="0.25">
      <c r="A408"/>
      <c r="B408"/>
      <c r="C408"/>
      <c r="D408"/>
      <c r="F408"/>
      <c r="G408"/>
      <c r="H408"/>
      <c r="I408"/>
      <c r="K408"/>
      <c r="L408"/>
      <c r="M408"/>
      <c r="N408"/>
      <c r="P408"/>
      <c r="Q408"/>
      <c r="R408"/>
      <c r="S408"/>
      <c r="U408"/>
      <c r="V408"/>
      <c r="W408"/>
      <c r="X408"/>
    </row>
    <row r="409" spans="1:24" x14ac:dyDescent="0.25">
      <c r="A409"/>
      <c r="B409"/>
      <c r="C409"/>
      <c r="D409"/>
      <c r="F409"/>
      <c r="G409"/>
      <c r="H409"/>
      <c r="I409"/>
      <c r="K409"/>
      <c r="L409"/>
      <c r="M409"/>
      <c r="N409"/>
      <c r="P409"/>
      <c r="Q409"/>
      <c r="R409"/>
      <c r="S409"/>
      <c r="U409"/>
      <c r="V409"/>
      <c r="W409"/>
      <c r="X409"/>
    </row>
    <row r="410" spans="1:24" x14ac:dyDescent="0.25">
      <c r="A410"/>
      <c r="B410"/>
      <c r="C410"/>
      <c r="D410"/>
      <c r="F410"/>
      <c r="G410"/>
      <c r="H410"/>
      <c r="I410"/>
      <c r="K410"/>
      <c r="L410"/>
      <c r="M410"/>
      <c r="N410"/>
      <c r="P410"/>
      <c r="Q410"/>
      <c r="R410"/>
      <c r="S410"/>
      <c r="U410"/>
      <c r="V410"/>
      <c r="W410"/>
      <c r="X410"/>
    </row>
    <row r="411" spans="1:24" x14ac:dyDescent="0.25">
      <c r="A411"/>
      <c r="B411"/>
      <c r="C411"/>
      <c r="D411"/>
      <c r="F411"/>
      <c r="G411"/>
      <c r="H411"/>
      <c r="I411"/>
      <c r="K411"/>
      <c r="L411"/>
      <c r="M411"/>
      <c r="N411"/>
      <c r="P411"/>
      <c r="Q411"/>
      <c r="R411"/>
      <c r="S411"/>
      <c r="U411"/>
      <c r="V411"/>
      <c r="W411"/>
      <c r="X411"/>
    </row>
    <row r="412" spans="1:24" x14ac:dyDescent="0.25">
      <c r="A412"/>
      <c r="B412"/>
      <c r="C412"/>
      <c r="D412"/>
      <c r="F412"/>
      <c r="G412"/>
      <c r="H412"/>
      <c r="I412"/>
      <c r="K412"/>
      <c r="L412"/>
      <c r="M412"/>
      <c r="N412"/>
      <c r="P412"/>
      <c r="Q412"/>
      <c r="R412"/>
      <c r="S412"/>
      <c r="U412"/>
      <c r="V412"/>
      <c r="W412"/>
      <c r="X412"/>
    </row>
    <row r="413" spans="1:24" x14ac:dyDescent="0.25">
      <c r="A413"/>
      <c r="B413"/>
      <c r="C413"/>
      <c r="D413"/>
      <c r="F413"/>
      <c r="G413"/>
      <c r="H413"/>
      <c r="I413"/>
      <c r="K413"/>
      <c r="L413"/>
      <c r="M413"/>
      <c r="N413"/>
      <c r="P413"/>
      <c r="Q413"/>
      <c r="R413"/>
      <c r="S413"/>
      <c r="U413"/>
      <c r="V413"/>
      <c r="W413"/>
      <c r="X413"/>
    </row>
    <row r="414" spans="1:24" x14ac:dyDescent="0.25">
      <c r="A414"/>
      <c r="B414"/>
      <c r="C414"/>
      <c r="D414"/>
      <c r="F414"/>
      <c r="G414"/>
      <c r="H414"/>
      <c r="I414"/>
      <c r="K414"/>
      <c r="L414"/>
      <c r="M414"/>
      <c r="N414"/>
      <c r="P414"/>
      <c r="Q414"/>
      <c r="R414"/>
      <c r="S414"/>
      <c r="U414"/>
      <c r="V414"/>
      <c r="W414"/>
      <c r="X414"/>
    </row>
    <row r="415" spans="1:24" x14ac:dyDescent="0.25">
      <c r="A415"/>
      <c r="B415"/>
      <c r="C415"/>
      <c r="D415"/>
      <c r="F415"/>
      <c r="G415"/>
      <c r="H415"/>
      <c r="I415"/>
      <c r="K415"/>
      <c r="L415"/>
      <c r="M415"/>
      <c r="N415"/>
      <c r="P415"/>
      <c r="Q415"/>
      <c r="R415"/>
      <c r="S415"/>
      <c r="U415"/>
      <c r="V415"/>
      <c r="W415"/>
      <c r="X415"/>
    </row>
    <row r="416" spans="1:24" x14ac:dyDescent="0.25">
      <c r="A416"/>
      <c r="B416"/>
      <c r="C416"/>
      <c r="D416"/>
      <c r="F416"/>
      <c r="G416"/>
      <c r="H416"/>
      <c r="I416"/>
      <c r="K416"/>
      <c r="L416"/>
      <c r="M416"/>
      <c r="N416"/>
      <c r="P416"/>
      <c r="Q416"/>
      <c r="R416"/>
      <c r="S416"/>
      <c r="U416"/>
      <c r="V416"/>
      <c r="W416"/>
      <c r="X416"/>
    </row>
    <row r="417" spans="1:24" x14ac:dyDescent="0.25">
      <c r="A417"/>
      <c r="B417"/>
      <c r="C417"/>
      <c r="D417"/>
      <c r="F417"/>
      <c r="G417"/>
      <c r="H417"/>
      <c r="I417"/>
      <c r="K417"/>
      <c r="L417"/>
      <c r="M417"/>
      <c r="N417"/>
      <c r="P417"/>
      <c r="Q417"/>
      <c r="R417"/>
      <c r="S417"/>
      <c r="U417"/>
      <c r="V417"/>
      <c r="W417"/>
      <c r="X417"/>
    </row>
    <row r="418" spans="1:24" x14ac:dyDescent="0.25">
      <c r="A418"/>
      <c r="B418"/>
      <c r="C418"/>
      <c r="D418"/>
      <c r="F418"/>
      <c r="G418"/>
      <c r="H418"/>
      <c r="I418"/>
      <c r="K418"/>
      <c r="L418"/>
      <c r="M418"/>
      <c r="N418"/>
      <c r="P418"/>
      <c r="Q418"/>
      <c r="R418"/>
      <c r="S418"/>
      <c r="U418"/>
      <c r="V418"/>
      <c r="W418"/>
      <c r="X418"/>
    </row>
    <row r="419" spans="1:24" x14ac:dyDescent="0.25">
      <c r="A419"/>
      <c r="B419"/>
      <c r="C419"/>
      <c r="D419"/>
      <c r="F419"/>
      <c r="G419"/>
      <c r="H419"/>
      <c r="I419"/>
      <c r="K419"/>
      <c r="L419"/>
      <c r="M419"/>
      <c r="N419"/>
      <c r="P419"/>
      <c r="Q419"/>
      <c r="R419"/>
      <c r="S419"/>
      <c r="U419"/>
      <c r="V419"/>
      <c r="W419"/>
      <c r="X419"/>
    </row>
    <row r="420" spans="1:24" x14ac:dyDescent="0.25">
      <c r="A420"/>
      <c r="B420"/>
      <c r="C420"/>
      <c r="D420"/>
      <c r="F420"/>
      <c r="G420"/>
      <c r="H420"/>
      <c r="I420"/>
      <c r="K420"/>
      <c r="L420"/>
      <c r="M420"/>
      <c r="N420"/>
      <c r="P420"/>
      <c r="Q420"/>
      <c r="R420"/>
      <c r="S420"/>
      <c r="U420"/>
      <c r="V420"/>
      <c r="W420"/>
      <c r="X420"/>
    </row>
    <row r="421" spans="1:24" x14ac:dyDescent="0.25">
      <c r="A421"/>
      <c r="B421"/>
      <c r="C421"/>
      <c r="D421"/>
      <c r="F421"/>
      <c r="G421"/>
      <c r="H421"/>
      <c r="I421"/>
      <c r="K421"/>
      <c r="L421"/>
      <c r="M421"/>
      <c r="N421"/>
      <c r="P421"/>
      <c r="Q421"/>
      <c r="R421"/>
      <c r="S421"/>
      <c r="U421"/>
      <c r="V421"/>
      <c r="W421"/>
      <c r="X421"/>
    </row>
    <row r="422" spans="1:24" x14ac:dyDescent="0.25">
      <c r="A422"/>
      <c r="B422"/>
      <c r="C422"/>
      <c r="D422"/>
      <c r="F422"/>
      <c r="G422"/>
      <c r="H422"/>
      <c r="I422"/>
      <c r="K422"/>
      <c r="L422"/>
      <c r="M422"/>
      <c r="N422"/>
      <c r="P422"/>
      <c r="Q422"/>
      <c r="R422"/>
      <c r="S422"/>
      <c r="U422"/>
      <c r="V422"/>
      <c r="W422"/>
      <c r="X422"/>
    </row>
    <row r="423" spans="1:24" x14ac:dyDescent="0.25">
      <c r="A423"/>
      <c r="B423"/>
      <c r="C423"/>
      <c r="D423"/>
      <c r="F423"/>
      <c r="G423"/>
      <c r="H423"/>
      <c r="I423"/>
      <c r="K423"/>
      <c r="L423"/>
      <c r="M423"/>
      <c r="N423"/>
      <c r="P423"/>
      <c r="Q423"/>
      <c r="R423"/>
      <c r="S423"/>
      <c r="U423"/>
      <c r="V423"/>
      <c r="W423"/>
      <c r="X423"/>
    </row>
    <row r="424" spans="1:24" x14ac:dyDescent="0.25">
      <c r="A424"/>
      <c r="B424"/>
      <c r="C424"/>
      <c r="D424"/>
      <c r="F424"/>
      <c r="G424"/>
      <c r="H424"/>
      <c r="I424"/>
      <c r="K424"/>
      <c r="L424"/>
      <c r="M424"/>
      <c r="N424"/>
      <c r="P424"/>
      <c r="Q424"/>
      <c r="R424"/>
      <c r="S424"/>
      <c r="U424"/>
      <c r="V424"/>
      <c r="W424"/>
      <c r="X424"/>
    </row>
    <row r="425" spans="1:24" x14ac:dyDescent="0.25">
      <c r="A425"/>
      <c r="B425"/>
      <c r="C425"/>
      <c r="D425"/>
      <c r="F425"/>
      <c r="G425"/>
      <c r="H425"/>
      <c r="I425"/>
      <c r="K425"/>
      <c r="L425"/>
      <c r="M425"/>
      <c r="N425"/>
      <c r="P425"/>
      <c r="Q425"/>
      <c r="R425"/>
      <c r="S425"/>
      <c r="U425"/>
      <c r="V425"/>
      <c r="W425"/>
      <c r="X425"/>
    </row>
    <row r="426" spans="1:24" x14ac:dyDescent="0.25">
      <c r="A426"/>
      <c r="B426"/>
      <c r="C426"/>
      <c r="D426"/>
      <c r="F426"/>
      <c r="G426"/>
      <c r="H426"/>
      <c r="I426"/>
      <c r="K426"/>
      <c r="L426"/>
      <c r="M426"/>
      <c r="N426"/>
      <c r="P426"/>
      <c r="Q426"/>
      <c r="R426"/>
      <c r="S426"/>
      <c r="U426"/>
      <c r="V426"/>
      <c r="W426"/>
      <c r="X426"/>
    </row>
    <row r="427" spans="1:24" x14ac:dyDescent="0.25">
      <c r="A427"/>
      <c r="B427"/>
      <c r="C427"/>
      <c r="D427"/>
      <c r="F427"/>
      <c r="G427"/>
      <c r="H427"/>
      <c r="I427"/>
      <c r="K427"/>
      <c r="L427"/>
      <c r="M427"/>
      <c r="N427"/>
      <c r="P427"/>
      <c r="Q427"/>
      <c r="R427"/>
      <c r="S427"/>
      <c r="U427"/>
      <c r="V427"/>
      <c r="W427"/>
      <c r="X427"/>
    </row>
    <row r="428" spans="1:24" x14ac:dyDescent="0.25">
      <c r="A428"/>
      <c r="B428"/>
      <c r="C428"/>
      <c r="D428"/>
      <c r="F428"/>
      <c r="G428"/>
      <c r="H428"/>
      <c r="I428"/>
      <c r="K428"/>
      <c r="L428"/>
      <c r="M428"/>
      <c r="N428"/>
      <c r="P428"/>
      <c r="Q428"/>
      <c r="R428"/>
      <c r="S428"/>
      <c r="U428"/>
      <c r="V428"/>
      <c r="W428"/>
      <c r="X428"/>
    </row>
    <row r="429" spans="1:24" x14ac:dyDescent="0.25">
      <c r="A429"/>
      <c r="B429"/>
      <c r="C429"/>
      <c r="D429"/>
      <c r="F429"/>
      <c r="G429"/>
      <c r="H429"/>
      <c r="I429"/>
      <c r="K429"/>
      <c r="L429"/>
      <c r="M429"/>
      <c r="N429"/>
      <c r="P429"/>
      <c r="Q429"/>
      <c r="R429"/>
      <c r="S429"/>
      <c r="U429"/>
      <c r="V429"/>
      <c r="W429"/>
      <c r="X429"/>
    </row>
    <row r="430" spans="1:24" x14ac:dyDescent="0.25">
      <c r="A430"/>
      <c r="B430"/>
      <c r="C430"/>
      <c r="D430"/>
      <c r="F430"/>
      <c r="G430"/>
      <c r="H430"/>
      <c r="I430"/>
      <c r="K430"/>
      <c r="L430"/>
      <c r="M430"/>
      <c r="N430"/>
      <c r="P430"/>
      <c r="Q430"/>
      <c r="R430"/>
      <c r="S430"/>
      <c r="U430"/>
      <c r="V430"/>
      <c r="W430"/>
      <c r="X430"/>
    </row>
    <row r="431" spans="1:24" x14ac:dyDescent="0.25">
      <c r="A431"/>
      <c r="B431"/>
      <c r="C431"/>
      <c r="D431"/>
      <c r="F431"/>
      <c r="G431"/>
      <c r="H431"/>
      <c r="I431"/>
      <c r="K431"/>
      <c r="L431"/>
      <c r="M431"/>
      <c r="N431"/>
      <c r="P431"/>
      <c r="Q431"/>
      <c r="R431"/>
      <c r="S431"/>
      <c r="U431"/>
      <c r="V431"/>
      <c r="W431"/>
      <c r="X431"/>
    </row>
    <row r="432" spans="1:24" x14ac:dyDescent="0.25">
      <c r="A432"/>
      <c r="B432"/>
      <c r="C432"/>
      <c r="D432"/>
      <c r="F432"/>
      <c r="G432"/>
      <c r="H432"/>
      <c r="I432"/>
      <c r="K432"/>
      <c r="L432"/>
      <c r="M432"/>
      <c r="N432"/>
      <c r="P432"/>
      <c r="Q432"/>
      <c r="R432"/>
      <c r="S432"/>
      <c r="U432"/>
      <c r="V432"/>
      <c r="W432"/>
      <c r="X432"/>
    </row>
    <row r="433" spans="1:24" x14ac:dyDescent="0.25">
      <c r="A433"/>
      <c r="B433"/>
      <c r="C433"/>
      <c r="D433"/>
      <c r="F433"/>
      <c r="G433"/>
      <c r="H433"/>
      <c r="I433"/>
      <c r="K433"/>
      <c r="L433"/>
      <c r="M433"/>
      <c r="N433"/>
      <c r="P433"/>
      <c r="Q433"/>
      <c r="R433"/>
      <c r="S433"/>
      <c r="U433"/>
      <c r="V433"/>
      <c r="W433"/>
      <c r="X433"/>
    </row>
    <row r="434" spans="1:24" x14ac:dyDescent="0.25">
      <c r="A434"/>
      <c r="B434"/>
      <c r="C434"/>
      <c r="D434"/>
      <c r="F434"/>
      <c r="G434"/>
      <c r="H434"/>
      <c r="I434"/>
      <c r="K434"/>
      <c r="L434"/>
      <c r="M434"/>
      <c r="N434"/>
      <c r="P434"/>
      <c r="Q434"/>
      <c r="R434"/>
      <c r="S434"/>
      <c r="U434"/>
      <c r="V434"/>
      <c r="W434"/>
      <c r="X434"/>
    </row>
    <row r="435" spans="1:24" x14ac:dyDescent="0.25">
      <c r="A435"/>
      <c r="B435"/>
      <c r="C435"/>
      <c r="D435"/>
      <c r="F435"/>
      <c r="G435"/>
      <c r="H435"/>
      <c r="I435"/>
      <c r="K435"/>
      <c r="L435"/>
      <c r="M435"/>
      <c r="N435"/>
      <c r="P435"/>
      <c r="Q435"/>
      <c r="R435"/>
      <c r="S435"/>
      <c r="U435"/>
      <c r="V435"/>
      <c r="W435"/>
      <c r="X435"/>
    </row>
    <row r="436" spans="1:24" x14ac:dyDescent="0.25">
      <c r="A436"/>
      <c r="B436"/>
      <c r="C436"/>
      <c r="D436"/>
      <c r="F436"/>
      <c r="G436"/>
      <c r="H436"/>
      <c r="I436"/>
      <c r="K436"/>
      <c r="L436"/>
      <c r="M436"/>
      <c r="N436"/>
      <c r="P436"/>
      <c r="Q436"/>
      <c r="R436"/>
      <c r="S436"/>
      <c r="U436"/>
      <c r="V436"/>
      <c r="W436"/>
      <c r="X436"/>
    </row>
    <row r="437" spans="1:24" x14ac:dyDescent="0.25">
      <c r="A437"/>
      <c r="B437"/>
      <c r="C437"/>
      <c r="D437"/>
      <c r="F437"/>
      <c r="G437"/>
      <c r="H437"/>
      <c r="I437"/>
      <c r="K437"/>
      <c r="L437"/>
      <c r="M437"/>
      <c r="N437"/>
      <c r="P437"/>
      <c r="Q437"/>
      <c r="R437"/>
      <c r="S437"/>
      <c r="U437"/>
      <c r="V437"/>
      <c r="W437"/>
      <c r="X437"/>
    </row>
    <row r="438" spans="1:24" x14ac:dyDescent="0.25">
      <c r="A438"/>
      <c r="B438"/>
      <c r="C438"/>
      <c r="D438"/>
      <c r="F438"/>
      <c r="G438"/>
      <c r="H438"/>
      <c r="I438"/>
      <c r="K438"/>
      <c r="L438"/>
      <c r="M438"/>
      <c r="N438"/>
      <c r="P438"/>
      <c r="Q438"/>
      <c r="R438"/>
      <c r="S438"/>
      <c r="U438"/>
      <c r="V438"/>
      <c r="W438"/>
      <c r="X438"/>
    </row>
    <row r="439" spans="1:24" x14ac:dyDescent="0.25">
      <c r="A439"/>
      <c r="B439"/>
      <c r="C439"/>
      <c r="D439"/>
      <c r="F439"/>
      <c r="G439"/>
      <c r="H439"/>
      <c r="I439"/>
      <c r="K439"/>
      <c r="L439"/>
      <c r="M439"/>
      <c r="N439"/>
      <c r="P439"/>
      <c r="Q439"/>
      <c r="R439"/>
      <c r="S439"/>
      <c r="U439"/>
      <c r="V439"/>
      <c r="W439"/>
      <c r="X439"/>
    </row>
    <row r="440" spans="1:24" x14ac:dyDescent="0.25">
      <c r="A440"/>
      <c r="B440"/>
      <c r="C440"/>
      <c r="D440"/>
      <c r="F440"/>
      <c r="G440"/>
      <c r="H440"/>
      <c r="I440"/>
      <c r="K440"/>
      <c r="L440"/>
      <c r="M440"/>
      <c r="N440"/>
      <c r="P440"/>
      <c r="Q440"/>
      <c r="R440"/>
      <c r="S440"/>
      <c r="U440"/>
      <c r="V440"/>
      <c r="W440"/>
      <c r="X440"/>
    </row>
    <row r="441" spans="1:24" x14ac:dyDescent="0.25">
      <c r="A441"/>
      <c r="B441"/>
      <c r="C441"/>
      <c r="D441"/>
      <c r="F441"/>
      <c r="G441"/>
      <c r="H441"/>
      <c r="I441"/>
      <c r="K441"/>
      <c r="L441"/>
      <c r="M441"/>
      <c r="N441"/>
      <c r="P441"/>
      <c r="Q441"/>
      <c r="R441"/>
      <c r="S441"/>
      <c r="U441"/>
      <c r="V441"/>
      <c r="W441"/>
      <c r="X441"/>
    </row>
    <row r="442" spans="1:24" x14ac:dyDescent="0.25">
      <c r="A442"/>
      <c r="B442"/>
      <c r="C442"/>
      <c r="D442"/>
      <c r="F442"/>
      <c r="G442"/>
      <c r="H442"/>
      <c r="I442"/>
      <c r="K442"/>
      <c r="L442"/>
      <c r="M442"/>
      <c r="N442"/>
      <c r="P442"/>
      <c r="Q442"/>
      <c r="R442"/>
      <c r="S442"/>
      <c r="U442"/>
      <c r="V442"/>
      <c r="W442"/>
      <c r="X442"/>
    </row>
    <row r="443" spans="1:24" x14ac:dyDescent="0.25">
      <c r="A443"/>
      <c r="B443"/>
      <c r="C443"/>
      <c r="D443"/>
      <c r="F443"/>
      <c r="G443"/>
      <c r="H443"/>
      <c r="I443"/>
      <c r="K443"/>
      <c r="L443"/>
      <c r="M443"/>
      <c r="N443"/>
      <c r="P443"/>
      <c r="Q443"/>
      <c r="R443"/>
      <c r="S443"/>
      <c r="U443"/>
      <c r="V443"/>
      <c r="W443"/>
      <c r="X443"/>
    </row>
    <row r="444" spans="1:24" x14ac:dyDescent="0.25">
      <c r="A444"/>
      <c r="B444"/>
      <c r="C444"/>
      <c r="D444"/>
      <c r="F444"/>
      <c r="G444"/>
      <c r="H444"/>
      <c r="I444"/>
      <c r="K444"/>
      <c r="L444"/>
      <c r="M444"/>
      <c r="N444"/>
      <c r="P444"/>
      <c r="Q444"/>
      <c r="R444"/>
      <c r="S444"/>
      <c r="U444"/>
      <c r="V444"/>
      <c r="W444"/>
      <c r="X444"/>
    </row>
    <row r="445" spans="1:24" x14ac:dyDescent="0.25">
      <c r="A445"/>
      <c r="B445"/>
      <c r="C445"/>
      <c r="D445"/>
      <c r="F445"/>
      <c r="G445"/>
      <c r="H445"/>
      <c r="I445"/>
      <c r="K445"/>
      <c r="L445"/>
      <c r="M445"/>
      <c r="N445"/>
      <c r="P445"/>
      <c r="Q445"/>
      <c r="R445"/>
      <c r="S445"/>
      <c r="U445"/>
      <c r="V445"/>
      <c r="W445"/>
      <c r="X445"/>
    </row>
    <row r="446" spans="1:24" x14ac:dyDescent="0.25">
      <c r="A446"/>
      <c r="B446"/>
      <c r="C446"/>
      <c r="D446"/>
      <c r="F446"/>
      <c r="G446"/>
      <c r="H446"/>
      <c r="I446"/>
      <c r="K446"/>
      <c r="L446"/>
      <c r="M446"/>
      <c r="N446"/>
      <c r="P446"/>
      <c r="Q446"/>
      <c r="R446"/>
      <c r="S446"/>
      <c r="U446"/>
      <c r="V446"/>
      <c r="W446"/>
      <c r="X446"/>
    </row>
    <row r="447" spans="1:24" x14ac:dyDescent="0.25">
      <c r="A447"/>
      <c r="B447"/>
      <c r="C447"/>
      <c r="D447"/>
      <c r="F447"/>
      <c r="G447"/>
      <c r="H447"/>
      <c r="I447"/>
      <c r="K447"/>
      <c r="L447"/>
      <c r="M447"/>
      <c r="N447"/>
      <c r="P447"/>
      <c r="Q447"/>
      <c r="R447"/>
      <c r="S447"/>
      <c r="U447"/>
      <c r="V447"/>
      <c r="W447"/>
      <c r="X447"/>
    </row>
    <row r="448" spans="1:24" x14ac:dyDescent="0.25">
      <c r="A448"/>
      <c r="B448"/>
      <c r="C448"/>
      <c r="D448"/>
      <c r="F448"/>
      <c r="G448"/>
      <c r="H448"/>
      <c r="I448"/>
      <c r="K448"/>
      <c r="L448"/>
      <c r="M448"/>
      <c r="N448"/>
      <c r="P448"/>
      <c r="Q448"/>
      <c r="R448"/>
      <c r="S448"/>
      <c r="U448"/>
      <c r="V448"/>
      <c r="W448"/>
      <c r="X448"/>
    </row>
    <row r="449" spans="1:24" x14ac:dyDescent="0.25">
      <c r="A449"/>
      <c r="B449"/>
      <c r="C449"/>
      <c r="D449"/>
      <c r="F449"/>
      <c r="G449"/>
      <c r="H449"/>
      <c r="I449"/>
      <c r="K449"/>
      <c r="L449"/>
      <c r="M449"/>
      <c r="N449"/>
      <c r="P449"/>
      <c r="Q449"/>
      <c r="R449"/>
      <c r="S449"/>
      <c r="U449"/>
      <c r="V449"/>
      <c r="W449"/>
      <c r="X449"/>
    </row>
    <row r="450" spans="1:24" x14ac:dyDescent="0.25">
      <c r="A450"/>
      <c r="B450"/>
      <c r="C450"/>
      <c r="D450"/>
      <c r="F450"/>
      <c r="G450"/>
      <c r="H450"/>
      <c r="I450"/>
      <c r="K450"/>
      <c r="L450"/>
      <c r="M450"/>
      <c r="N450"/>
      <c r="P450"/>
      <c r="Q450"/>
      <c r="R450"/>
      <c r="S450"/>
      <c r="U450"/>
      <c r="V450"/>
      <c r="W450"/>
      <c r="X450"/>
    </row>
    <row r="451" spans="1:24" x14ac:dyDescent="0.25">
      <c r="A451"/>
      <c r="B451"/>
      <c r="C451"/>
      <c r="D451"/>
      <c r="F451"/>
      <c r="G451"/>
      <c r="H451"/>
      <c r="I451"/>
      <c r="K451"/>
      <c r="L451"/>
      <c r="M451"/>
      <c r="N451"/>
      <c r="P451"/>
      <c r="Q451"/>
      <c r="R451"/>
      <c r="S451"/>
      <c r="U451"/>
      <c r="V451"/>
      <c r="W451"/>
      <c r="X451"/>
    </row>
    <row r="452" spans="1:24" x14ac:dyDescent="0.25">
      <c r="A452"/>
      <c r="B452"/>
      <c r="C452"/>
      <c r="D452"/>
      <c r="F452"/>
      <c r="G452"/>
      <c r="H452"/>
      <c r="I452"/>
      <c r="K452"/>
      <c r="L452"/>
      <c r="M452"/>
      <c r="N452"/>
      <c r="P452"/>
      <c r="Q452"/>
      <c r="R452"/>
      <c r="S452"/>
      <c r="U452"/>
      <c r="V452"/>
      <c r="W452"/>
      <c r="X452"/>
    </row>
    <row r="453" spans="1:24" x14ac:dyDescent="0.25">
      <c r="A453"/>
      <c r="B453"/>
      <c r="C453"/>
      <c r="D453"/>
      <c r="F453"/>
      <c r="G453"/>
      <c r="H453"/>
      <c r="I453"/>
      <c r="K453"/>
      <c r="L453"/>
      <c r="M453"/>
      <c r="N453"/>
      <c r="P453"/>
      <c r="Q453"/>
      <c r="R453"/>
      <c r="S453"/>
      <c r="U453"/>
      <c r="V453"/>
      <c r="W453"/>
      <c r="X453"/>
    </row>
    <row r="454" spans="1:24" x14ac:dyDescent="0.25">
      <c r="A454"/>
      <c r="B454"/>
      <c r="C454"/>
      <c r="D454"/>
      <c r="F454"/>
      <c r="G454"/>
      <c r="H454"/>
      <c r="I454"/>
      <c r="K454"/>
      <c r="L454"/>
      <c r="M454"/>
      <c r="N454"/>
      <c r="P454"/>
      <c r="Q454"/>
      <c r="R454"/>
      <c r="S454"/>
      <c r="U454"/>
      <c r="V454"/>
      <c r="W454"/>
      <c r="X454"/>
    </row>
    <row r="455" spans="1:24" x14ac:dyDescent="0.25">
      <c r="A455"/>
      <c r="B455"/>
      <c r="C455"/>
      <c r="D455"/>
      <c r="F455"/>
      <c r="G455"/>
      <c r="H455"/>
      <c r="I455"/>
      <c r="K455"/>
      <c r="L455"/>
      <c r="M455"/>
      <c r="N455"/>
      <c r="P455"/>
      <c r="Q455"/>
      <c r="R455"/>
      <c r="S455"/>
      <c r="U455"/>
      <c r="V455"/>
      <c r="W455"/>
      <c r="X455"/>
    </row>
    <row r="456" spans="1:24" x14ac:dyDescent="0.25">
      <c r="A456"/>
      <c r="B456"/>
      <c r="C456"/>
      <c r="D456"/>
      <c r="F456"/>
      <c r="G456"/>
      <c r="H456"/>
      <c r="I456"/>
      <c r="K456"/>
      <c r="L456"/>
      <c r="M456"/>
      <c r="N456"/>
      <c r="P456"/>
      <c r="Q456"/>
      <c r="R456"/>
      <c r="S456"/>
      <c r="U456"/>
      <c r="V456"/>
      <c r="W456"/>
      <c r="X456"/>
    </row>
    <row r="457" spans="1:24" x14ac:dyDescent="0.25">
      <c r="A457"/>
      <c r="B457"/>
      <c r="C457"/>
      <c r="D457"/>
      <c r="F457"/>
      <c r="G457"/>
      <c r="H457"/>
      <c r="I457"/>
      <c r="K457"/>
      <c r="L457"/>
      <c r="M457"/>
      <c r="N457"/>
      <c r="P457"/>
      <c r="Q457"/>
      <c r="R457"/>
      <c r="S457"/>
      <c r="U457"/>
      <c r="V457"/>
      <c r="W457"/>
      <c r="X457"/>
    </row>
    <row r="458" spans="1:24" x14ac:dyDescent="0.25">
      <c r="A458"/>
      <c r="B458"/>
      <c r="C458"/>
      <c r="D458"/>
      <c r="F458"/>
      <c r="G458"/>
      <c r="H458"/>
      <c r="I458"/>
      <c r="K458"/>
      <c r="L458"/>
      <c r="M458"/>
      <c r="N458"/>
      <c r="P458"/>
      <c r="Q458"/>
      <c r="R458"/>
      <c r="S458"/>
      <c r="U458"/>
      <c r="V458"/>
      <c r="W458"/>
      <c r="X458"/>
    </row>
    <row r="459" spans="1:24" x14ac:dyDescent="0.25">
      <c r="A459"/>
      <c r="B459"/>
      <c r="C459"/>
      <c r="D459"/>
      <c r="F459"/>
      <c r="G459"/>
      <c r="H459"/>
      <c r="I459"/>
      <c r="K459"/>
      <c r="L459"/>
      <c r="M459"/>
      <c r="N459"/>
      <c r="P459"/>
      <c r="Q459"/>
      <c r="R459"/>
      <c r="S459"/>
      <c r="U459"/>
      <c r="V459"/>
      <c r="W459"/>
      <c r="X459"/>
    </row>
    <row r="460" spans="1:24" x14ac:dyDescent="0.25">
      <c r="A460"/>
      <c r="B460"/>
      <c r="C460"/>
      <c r="D460"/>
      <c r="F460"/>
      <c r="G460"/>
      <c r="H460"/>
      <c r="I460"/>
      <c r="K460"/>
      <c r="L460"/>
      <c r="M460"/>
      <c r="N460"/>
      <c r="P460"/>
      <c r="Q460"/>
      <c r="R460"/>
      <c r="S460"/>
      <c r="U460"/>
      <c r="V460"/>
      <c r="W460"/>
      <c r="X460"/>
    </row>
    <row r="461" spans="1:24" x14ac:dyDescent="0.25">
      <c r="A461"/>
      <c r="B461"/>
      <c r="C461"/>
      <c r="D461"/>
      <c r="F461"/>
      <c r="G461"/>
      <c r="H461"/>
      <c r="I461"/>
      <c r="K461"/>
      <c r="L461"/>
      <c r="M461"/>
      <c r="N461"/>
      <c r="P461"/>
      <c r="Q461"/>
      <c r="R461"/>
      <c r="S461"/>
      <c r="U461"/>
      <c r="V461"/>
      <c r="W461"/>
      <c r="X461"/>
    </row>
    <row r="462" spans="1:24" x14ac:dyDescent="0.25">
      <c r="A462"/>
      <c r="B462"/>
      <c r="C462"/>
      <c r="D462"/>
      <c r="F462"/>
      <c r="G462"/>
      <c r="H462"/>
      <c r="I462"/>
      <c r="K462"/>
      <c r="L462"/>
      <c r="M462"/>
      <c r="N462"/>
      <c r="P462"/>
      <c r="Q462"/>
      <c r="R462"/>
      <c r="S462"/>
      <c r="U462"/>
      <c r="V462"/>
      <c r="W462"/>
      <c r="X462"/>
    </row>
    <row r="463" spans="1:24" x14ac:dyDescent="0.25">
      <c r="A463"/>
      <c r="B463"/>
      <c r="C463"/>
      <c r="D463"/>
      <c r="F463"/>
      <c r="G463"/>
      <c r="H463"/>
      <c r="I463"/>
      <c r="K463"/>
      <c r="L463"/>
      <c r="M463"/>
      <c r="N463"/>
      <c r="P463"/>
      <c r="Q463"/>
      <c r="R463"/>
      <c r="S463"/>
      <c r="U463"/>
      <c r="V463"/>
      <c r="W463"/>
      <c r="X463"/>
    </row>
    <row r="464" spans="1:24" x14ac:dyDescent="0.25">
      <c r="A464"/>
      <c r="B464"/>
      <c r="C464"/>
      <c r="D464"/>
      <c r="F464"/>
      <c r="G464"/>
      <c r="H464"/>
      <c r="I464"/>
      <c r="K464"/>
      <c r="L464"/>
      <c r="M464"/>
      <c r="N464"/>
      <c r="P464"/>
      <c r="Q464"/>
      <c r="R464"/>
      <c r="S464"/>
      <c r="U464"/>
      <c r="V464"/>
      <c r="W464"/>
      <c r="X464"/>
    </row>
    <row r="465" spans="1:24" x14ac:dyDescent="0.25">
      <c r="A465"/>
      <c r="B465"/>
      <c r="C465"/>
      <c r="D465"/>
      <c r="F465"/>
      <c r="G465"/>
      <c r="H465"/>
      <c r="I465"/>
      <c r="K465"/>
      <c r="L465"/>
      <c r="M465"/>
      <c r="N465"/>
      <c r="P465"/>
      <c r="Q465"/>
      <c r="R465"/>
      <c r="S465"/>
      <c r="U465"/>
      <c r="V465"/>
      <c r="W465"/>
      <c r="X465"/>
    </row>
    <row r="466" spans="1:24" x14ac:dyDescent="0.25">
      <c r="A466"/>
      <c r="B466"/>
      <c r="C466"/>
      <c r="D466"/>
      <c r="F466"/>
      <c r="G466"/>
      <c r="H466"/>
      <c r="I466"/>
      <c r="K466"/>
      <c r="L466"/>
      <c r="M466"/>
      <c r="N466"/>
      <c r="P466"/>
      <c r="Q466"/>
      <c r="R466"/>
      <c r="S466"/>
      <c r="U466"/>
      <c r="V466"/>
      <c r="W466"/>
      <c r="X466"/>
    </row>
    <row r="467" spans="1:24" x14ac:dyDescent="0.25">
      <c r="A467"/>
      <c r="B467"/>
      <c r="C467"/>
      <c r="D467"/>
      <c r="F467"/>
      <c r="G467"/>
      <c r="H467"/>
      <c r="I467"/>
      <c r="K467"/>
      <c r="L467"/>
      <c r="M467"/>
      <c r="N467"/>
      <c r="P467"/>
      <c r="Q467"/>
      <c r="R467"/>
      <c r="S467"/>
      <c r="U467"/>
      <c r="V467"/>
      <c r="W467"/>
      <c r="X467"/>
    </row>
    <row r="468" spans="1:24" x14ac:dyDescent="0.25">
      <c r="A468"/>
      <c r="B468"/>
      <c r="C468"/>
      <c r="D468"/>
      <c r="F468"/>
      <c r="G468"/>
      <c r="H468"/>
      <c r="I468"/>
      <c r="K468"/>
      <c r="L468"/>
      <c r="M468"/>
      <c r="N468"/>
      <c r="P468"/>
      <c r="Q468"/>
      <c r="R468"/>
      <c r="S468"/>
      <c r="U468"/>
      <c r="V468"/>
      <c r="W468"/>
      <c r="X468"/>
    </row>
    <row r="469" spans="1:24" x14ac:dyDescent="0.25">
      <c r="A469"/>
      <c r="B469"/>
      <c r="C469"/>
      <c r="D469"/>
      <c r="F469"/>
      <c r="G469"/>
      <c r="H469"/>
      <c r="I469"/>
      <c r="K469"/>
      <c r="L469"/>
      <c r="M469"/>
      <c r="N469"/>
      <c r="P469"/>
      <c r="Q469"/>
      <c r="R469"/>
      <c r="S469"/>
      <c r="U469"/>
      <c r="V469"/>
      <c r="W469"/>
      <c r="X469"/>
    </row>
    <row r="470" spans="1:24" x14ac:dyDescent="0.25">
      <c r="A470"/>
      <c r="B470"/>
      <c r="C470"/>
      <c r="D470"/>
      <c r="F470"/>
      <c r="G470"/>
      <c r="H470"/>
      <c r="I470"/>
      <c r="K470"/>
      <c r="L470"/>
      <c r="M470"/>
      <c r="N470"/>
      <c r="P470"/>
      <c r="Q470"/>
      <c r="R470"/>
      <c r="S470"/>
      <c r="U470"/>
      <c r="V470"/>
      <c r="W470"/>
      <c r="X470"/>
    </row>
    <row r="471" spans="1:24" x14ac:dyDescent="0.25">
      <c r="A471"/>
      <c r="B471"/>
      <c r="C471"/>
      <c r="D471"/>
      <c r="F471"/>
      <c r="G471"/>
      <c r="H471"/>
      <c r="I471"/>
      <c r="K471"/>
      <c r="L471"/>
      <c r="M471"/>
      <c r="N471"/>
      <c r="P471"/>
      <c r="Q471"/>
      <c r="R471"/>
      <c r="S471"/>
      <c r="U471"/>
      <c r="V471"/>
      <c r="W471"/>
      <c r="X471"/>
    </row>
    <row r="472" spans="1:24" x14ac:dyDescent="0.25">
      <c r="A472"/>
      <c r="B472"/>
      <c r="C472"/>
      <c r="D472"/>
      <c r="F472"/>
      <c r="G472"/>
      <c r="H472"/>
      <c r="I472"/>
      <c r="K472"/>
      <c r="L472"/>
      <c r="M472"/>
      <c r="N472"/>
      <c r="P472"/>
      <c r="Q472"/>
      <c r="R472"/>
      <c r="S472"/>
      <c r="U472"/>
      <c r="V472"/>
      <c r="W472"/>
      <c r="X472"/>
    </row>
    <row r="473" spans="1:24" x14ac:dyDescent="0.25">
      <c r="A473"/>
      <c r="B473"/>
      <c r="C473"/>
      <c r="D473"/>
      <c r="F473"/>
      <c r="G473"/>
      <c r="H473"/>
      <c r="I473"/>
      <c r="K473"/>
      <c r="L473"/>
      <c r="M473"/>
      <c r="N473"/>
      <c r="P473"/>
      <c r="Q473"/>
      <c r="R473"/>
      <c r="S473"/>
      <c r="U473"/>
      <c r="V473"/>
      <c r="W473"/>
      <c r="X473"/>
    </row>
    <row r="474" spans="1:24" x14ac:dyDescent="0.25">
      <c r="A474"/>
      <c r="B474"/>
      <c r="C474"/>
      <c r="D474"/>
      <c r="F474"/>
      <c r="G474"/>
      <c r="H474"/>
      <c r="I474"/>
      <c r="K474"/>
      <c r="L474"/>
      <c r="M474"/>
      <c r="N474"/>
      <c r="P474"/>
      <c r="Q474"/>
      <c r="R474"/>
      <c r="S474"/>
      <c r="U474"/>
      <c r="V474"/>
      <c r="W474"/>
      <c r="X474"/>
    </row>
    <row r="475" spans="1:24" x14ac:dyDescent="0.25">
      <c r="A475"/>
      <c r="B475"/>
      <c r="C475"/>
      <c r="D475"/>
      <c r="F475"/>
      <c r="G475"/>
      <c r="H475"/>
      <c r="I475"/>
      <c r="K475"/>
      <c r="L475"/>
      <c r="M475"/>
      <c r="N475"/>
      <c r="P475"/>
      <c r="Q475"/>
      <c r="R475"/>
      <c r="S475"/>
      <c r="U475"/>
      <c r="V475"/>
      <c r="W475"/>
      <c r="X475"/>
    </row>
    <row r="476" spans="1:24" x14ac:dyDescent="0.25">
      <c r="A476"/>
      <c r="B476"/>
      <c r="C476"/>
      <c r="D476"/>
      <c r="F476"/>
      <c r="G476"/>
      <c r="H476"/>
      <c r="I476"/>
      <c r="K476"/>
      <c r="L476"/>
      <c r="M476"/>
      <c r="N476"/>
      <c r="P476"/>
      <c r="Q476"/>
      <c r="R476"/>
      <c r="S476"/>
      <c r="U476"/>
      <c r="V476"/>
      <c r="W476"/>
      <c r="X476"/>
    </row>
    <row r="477" spans="1:24" x14ac:dyDescent="0.25">
      <c r="A477"/>
      <c r="B477"/>
      <c r="C477"/>
      <c r="D477"/>
      <c r="F477"/>
      <c r="G477"/>
      <c r="H477"/>
      <c r="I477"/>
      <c r="K477"/>
      <c r="L477"/>
      <c r="M477"/>
      <c r="N477"/>
      <c r="P477"/>
      <c r="Q477"/>
      <c r="R477"/>
      <c r="S477"/>
      <c r="U477"/>
      <c r="V477"/>
      <c r="W477"/>
      <c r="X477"/>
    </row>
    <row r="478" spans="1:24" x14ac:dyDescent="0.25">
      <c r="A478"/>
      <c r="B478"/>
      <c r="C478"/>
      <c r="D478"/>
      <c r="F478"/>
      <c r="G478"/>
      <c r="H478"/>
      <c r="I478"/>
      <c r="K478"/>
      <c r="L478"/>
      <c r="M478"/>
      <c r="N478"/>
      <c r="P478"/>
      <c r="Q478"/>
      <c r="R478"/>
      <c r="S478"/>
      <c r="U478"/>
      <c r="V478"/>
      <c r="W478"/>
      <c r="X478"/>
    </row>
    <row r="479" spans="1:24" x14ac:dyDescent="0.25">
      <c r="A479"/>
      <c r="B479"/>
      <c r="C479"/>
      <c r="D479"/>
      <c r="F479"/>
      <c r="G479"/>
      <c r="H479"/>
      <c r="I479"/>
      <c r="K479"/>
      <c r="L479"/>
      <c r="M479"/>
      <c r="N479"/>
      <c r="P479"/>
      <c r="Q479"/>
      <c r="R479"/>
      <c r="S479"/>
      <c r="U479"/>
      <c r="V479"/>
      <c r="W479"/>
      <c r="X479"/>
    </row>
    <row r="480" spans="1:24" x14ac:dyDescent="0.25">
      <c r="A480"/>
      <c r="B480"/>
      <c r="C480"/>
      <c r="D480"/>
      <c r="F480"/>
      <c r="G480"/>
      <c r="H480"/>
      <c r="I480"/>
      <c r="K480"/>
      <c r="L480"/>
      <c r="M480"/>
      <c r="N480"/>
      <c r="P480"/>
      <c r="Q480"/>
      <c r="R480"/>
      <c r="S480"/>
      <c r="U480"/>
      <c r="V480"/>
      <c r="W480"/>
      <c r="X480"/>
    </row>
    <row r="481" spans="1:24" x14ac:dyDescent="0.25">
      <c r="A481"/>
      <c r="B481"/>
      <c r="C481"/>
      <c r="D481"/>
      <c r="F481"/>
      <c r="G481"/>
      <c r="H481"/>
      <c r="I481"/>
      <c r="K481"/>
      <c r="L481"/>
      <c r="M481"/>
      <c r="N481"/>
      <c r="P481"/>
      <c r="Q481"/>
      <c r="R481"/>
      <c r="S481"/>
      <c r="U481"/>
      <c r="V481"/>
      <c r="W481"/>
      <c r="X481"/>
    </row>
    <row r="482" spans="1:24" x14ac:dyDescent="0.25">
      <c r="A482"/>
      <c r="B482"/>
      <c r="C482"/>
      <c r="D482"/>
      <c r="F482"/>
      <c r="G482"/>
      <c r="H482"/>
      <c r="I482"/>
      <c r="K482"/>
      <c r="L482"/>
      <c r="M482"/>
      <c r="N482"/>
      <c r="P482"/>
      <c r="Q482"/>
      <c r="R482"/>
      <c r="S482"/>
      <c r="U482"/>
      <c r="V482"/>
      <c r="W482"/>
      <c r="X482"/>
    </row>
    <row r="483" spans="1:24" x14ac:dyDescent="0.25">
      <c r="A483"/>
      <c r="B483"/>
      <c r="C483"/>
      <c r="D483"/>
      <c r="F483"/>
      <c r="G483"/>
      <c r="H483"/>
      <c r="I483"/>
      <c r="K483"/>
      <c r="L483"/>
      <c r="M483"/>
      <c r="N483"/>
      <c r="P483"/>
      <c r="Q483"/>
      <c r="R483"/>
      <c r="S483"/>
      <c r="U483"/>
      <c r="V483"/>
      <c r="W483"/>
      <c r="X483"/>
    </row>
    <row r="484" spans="1:24" x14ac:dyDescent="0.25">
      <c r="A484"/>
      <c r="B484"/>
      <c r="C484"/>
      <c r="D484"/>
      <c r="F484"/>
      <c r="G484"/>
      <c r="H484"/>
      <c r="I484"/>
      <c r="K484"/>
      <c r="L484"/>
      <c r="M484"/>
      <c r="N484"/>
      <c r="P484"/>
      <c r="Q484"/>
      <c r="R484"/>
      <c r="S484"/>
      <c r="U484"/>
      <c r="V484"/>
      <c r="W484"/>
      <c r="X484"/>
    </row>
    <row r="485" spans="1:24" x14ac:dyDescent="0.25">
      <c r="A485"/>
      <c r="B485"/>
      <c r="C485"/>
      <c r="D485"/>
      <c r="F485"/>
      <c r="G485"/>
      <c r="H485"/>
      <c r="I485"/>
      <c r="K485"/>
      <c r="L485"/>
      <c r="M485"/>
      <c r="N485"/>
      <c r="P485"/>
      <c r="Q485"/>
      <c r="R485"/>
      <c r="S485"/>
      <c r="U485"/>
      <c r="V485"/>
      <c r="W485"/>
      <c r="X485"/>
    </row>
    <row r="486" spans="1:24" x14ac:dyDescent="0.25">
      <c r="A486"/>
      <c r="B486"/>
      <c r="C486"/>
      <c r="D486"/>
      <c r="F486"/>
      <c r="G486"/>
      <c r="H486"/>
      <c r="I486"/>
      <c r="K486"/>
      <c r="L486"/>
      <c r="M486"/>
      <c r="N486"/>
      <c r="P486"/>
      <c r="Q486"/>
      <c r="R486"/>
      <c r="S486"/>
      <c r="U486"/>
      <c r="V486"/>
      <c r="W486"/>
      <c r="X486"/>
    </row>
    <row r="487" spans="1:24" x14ac:dyDescent="0.25">
      <c r="A487"/>
      <c r="B487"/>
      <c r="C487"/>
      <c r="D487"/>
      <c r="F487"/>
      <c r="G487"/>
      <c r="H487"/>
      <c r="I487"/>
      <c r="K487"/>
      <c r="L487"/>
      <c r="M487"/>
      <c r="N487"/>
      <c r="P487"/>
      <c r="Q487"/>
      <c r="R487"/>
      <c r="S487"/>
      <c r="U487"/>
      <c r="V487"/>
      <c r="W487"/>
      <c r="X487"/>
    </row>
    <row r="488" spans="1:24" x14ac:dyDescent="0.25">
      <c r="A488"/>
      <c r="B488"/>
      <c r="C488"/>
      <c r="D488"/>
      <c r="F488"/>
      <c r="G488"/>
      <c r="H488"/>
      <c r="I488"/>
      <c r="K488"/>
      <c r="L488"/>
      <c r="M488"/>
      <c r="N488"/>
      <c r="P488"/>
      <c r="Q488"/>
      <c r="R488"/>
      <c r="S488"/>
      <c r="U488"/>
      <c r="V488"/>
      <c r="W488"/>
      <c r="X488"/>
    </row>
    <row r="489" spans="1:24" x14ac:dyDescent="0.25">
      <c r="A489"/>
      <c r="B489"/>
      <c r="C489"/>
      <c r="D489"/>
      <c r="F489"/>
      <c r="G489"/>
      <c r="H489"/>
      <c r="I489"/>
      <c r="K489"/>
      <c r="L489"/>
      <c r="M489"/>
      <c r="N489"/>
      <c r="P489"/>
      <c r="Q489"/>
      <c r="R489"/>
      <c r="S489"/>
      <c r="U489"/>
      <c r="V489"/>
      <c r="W489"/>
      <c r="X489"/>
    </row>
    <row r="490" spans="1:24" x14ac:dyDescent="0.25">
      <c r="A490"/>
      <c r="B490"/>
      <c r="C490"/>
      <c r="D490"/>
      <c r="F490"/>
      <c r="G490"/>
      <c r="H490"/>
      <c r="I490"/>
      <c r="K490"/>
      <c r="L490"/>
      <c r="M490"/>
      <c r="N490"/>
      <c r="P490"/>
      <c r="Q490"/>
      <c r="R490"/>
      <c r="S490"/>
      <c r="U490"/>
      <c r="V490"/>
      <c r="W490"/>
      <c r="X490"/>
    </row>
    <row r="491" spans="1:24" x14ac:dyDescent="0.25">
      <c r="A491"/>
      <c r="B491"/>
      <c r="C491"/>
      <c r="D491"/>
      <c r="F491"/>
      <c r="G491"/>
      <c r="H491"/>
      <c r="I491"/>
      <c r="K491"/>
      <c r="L491"/>
      <c r="M491"/>
      <c r="N491"/>
      <c r="P491"/>
      <c r="Q491"/>
      <c r="R491"/>
      <c r="S491"/>
      <c r="U491"/>
      <c r="V491"/>
      <c r="W491"/>
      <c r="X491"/>
    </row>
    <row r="492" spans="1:24" x14ac:dyDescent="0.25">
      <c r="A492"/>
      <c r="B492"/>
      <c r="C492"/>
      <c r="D492"/>
      <c r="F492"/>
      <c r="G492"/>
      <c r="H492"/>
      <c r="I492"/>
      <c r="K492"/>
      <c r="L492"/>
      <c r="M492"/>
      <c r="N492"/>
      <c r="P492"/>
      <c r="Q492"/>
      <c r="R492"/>
      <c r="S492"/>
      <c r="U492"/>
      <c r="V492"/>
      <c r="W492"/>
      <c r="X492"/>
    </row>
    <row r="493" spans="1:24" x14ac:dyDescent="0.25">
      <c r="A493"/>
      <c r="B493"/>
      <c r="C493"/>
      <c r="D493"/>
      <c r="F493"/>
      <c r="G493"/>
      <c r="H493"/>
      <c r="I493"/>
      <c r="K493"/>
      <c r="L493"/>
      <c r="M493"/>
      <c r="N493"/>
      <c r="P493"/>
      <c r="Q493"/>
      <c r="R493"/>
      <c r="S493"/>
      <c r="U493"/>
      <c r="V493"/>
      <c r="W493"/>
      <c r="X493"/>
    </row>
    <row r="494" spans="1:24" x14ac:dyDescent="0.25">
      <c r="A494"/>
      <c r="B494"/>
      <c r="C494"/>
      <c r="D494"/>
      <c r="F494"/>
      <c r="G494"/>
      <c r="H494"/>
      <c r="I494"/>
      <c r="K494"/>
      <c r="L494"/>
      <c r="M494"/>
      <c r="N494"/>
      <c r="P494"/>
      <c r="Q494"/>
      <c r="R494"/>
      <c r="S494"/>
      <c r="U494"/>
      <c r="V494"/>
      <c r="W494"/>
      <c r="X494"/>
    </row>
    <row r="495" spans="1:24" x14ac:dyDescent="0.25">
      <c r="A495"/>
      <c r="B495"/>
      <c r="C495"/>
      <c r="D495"/>
      <c r="F495"/>
      <c r="G495"/>
      <c r="H495"/>
      <c r="I495"/>
      <c r="K495"/>
      <c r="L495"/>
      <c r="M495"/>
      <c r="N495"/>
      <c r="P495"/>
      <c r="Q495"/>
      <c r="R495"/>
      <c r="S495"/>
      <c r="U495"/>
      <c r="V495"/>
      <c r="W495"/>
      <c r="X495"/>
    </row>
    <row r="496" spans="1:24" x14ac:dyDescent="0.25">
      <c r="A496"/>
      <c r="B496"/>
      <c r="C496"/>
      <c r="D496"/>
      <c r="F496"/>
      <c r="G496"/>
      <c r="H496"/>
      <c r="I496"/>
      <c r="K496"/>
      <c r="L496"/>
      <c r="M496"/>
      <c r="N496"/>
      <c r="P496"/>
      <c r="Q496"/>
      <c r="R496"/>
      <c r="S496"/>
      <c r="U496"/>
      <c r="V496"/>
      <c r="W496"/>
      <c r="X496"/>
    </row>
    <row r="497" spans="1:24" x14ac:dyDescent="0.25">
      <c r="A497"/>
      <c r="B497"/>
      <c r="C497"/>
      <c r="D497"/>
      <c r="F497"/>
      <c r="G497"/>
      <c r="H497"/>
      <c r="I497"/>
      <c r="K497"/>
      <c r="L497"/>
      <c r="M497"/>
      <c r="N497"/>
      <c r="P497"/>
      <c r="Q497"/>
      <c r="R497"/>
      <c r="S497"/>
      <c r="U497"/>
      <c r="V497"/>
      <c r="W497"/>
      <c r="X497"/>
    </row>
    <row r="498" spans="1:24" x14ac:dyDescent="0.25">
      <c r="A498"/>
      <c r="B498"/>
      <c r="C498"/>
      <c r="D498"/>
      <c r="F498"/>
      <c r="G498"/>
      <c r="H498"/>
      <c r="I498"/>
      <c r="K498"/>
      <c r="L498"/>
      <c r="M498"/>
      <c r="N498"/>
      <c r="P498"/>
      <c r="Q498"/>
      <c r="R498"/>
      <c r="S498"/>
      <c r="U498"/>
      <c r="V498"/>
      <c r="W498"/>
      <c r="X498"/>
    </row>
    <row r="499" spans="1:24" x14ac:dyDescent="0.25">
      <c r="A499"/>
      <c r="B499"/>
      <c r="C499"/>
      <c r="D499"/>
      <c r="F499"/>
      <c r="G499"/>
      <c r="H499"/>
      <c r="I499"/>
      <c r="K499"/>
      <c r="L499"/>
      <c r="M499"/>
      <c r="N499"/>
      <c r="P499"/>
      <c r="Q499"/>
      <c r="R499"/>
      <c r="S499"/>
      <c r="U499"/>
      <c r="V499"/>
      <c r="W499"/>
      <c r="X499"/>
    </row>
    <row r="500" spans="1:24" x14ac:dyDescent="0.25">
      <c r="A500"/>
      <c r="B500"/>
      <c r="C500"/>
      <c r="D500"/>
      <c r="F500"/>
      <c r="G500"/>
      <c r="H500"/>
      <c r="I500"/>
      <c r="K500"/>
      <c r="L500"/>
      <c r="M500"/>
      <c r="N500"/>
      <c r="P500"/>
      <c r="Q500"/>
      <c r="R500"/>
      <c r="S500"/>
      <c r="U500"/>
      <c r="V500"/>
      <c r="W500"/>
      <c r="X500"/>
    </row>
    <row r="501" spans="1:24" x14ac:dyDescent="0.25">
      <c r="A501"/>
      <c r="B501"/>
      <c r="C501"/>
      <c r="D501"/>
      <c r="F501"/>
      <c r="G501"/>
      <c r="H501"/>
      <c r="I501"/>
      <c r="K501"/>
      <c r="L501"/>
      <c r="M501"/>
      <c r="N501"/>
      <c r="P501"/>
      <c r="Q501"/>
      <c r="R501"/>
      <c r="S501"/>
      <c r="U501"/>
      <c r="V501"/>
      <c r="W501"/>
      <c r="X501"/>
    </row>
    <row r="502" spans="1:24" x14ac:dyDescent="0.25">
      <c r="A502"/>
      <c r="B502"/>
      <c r="C502"/>
      <c r="D502"/>
      <c r="F502"/>
      <c r="G502"/>
      <c r="H502"/>
      <c r="I502"/>
      <c r="K502"/>
      <c r="L502"/>
      <c r="M502"/>
      <c r="N502"/>
      <c r="P502"/>
      <c r="Q502"/>
      <c r="R502"/>
      <c r="S502"/>
      <c r="U502"/>
      <c r="V502"/>
      <c r="W502"/>
      <c r="X502"/>
    </row>
    <row r="503" spans="1:24" x14ac:dyDescent="0.25">
      <c r="A503"/>
      <c r="B503"/>
      <c r="C503"/>
      <c r="D503"/>
      <c r="F503"/>
      <c r="G503"/>
      <c r="H503"/>
      <c r="I503"/>
      <c r="K503"/>
      <c r="L503"/>
      <c r="M503"/>
      <c r="N503"/>
      <c r="P503"/>
      <c r="Q503"/>
      <c r="R503"/>
      <c r="S503"/>
      <c r="U503"/>
      <c r="V503"/>
      <c r="W503"/>
      <c r="X503"/>
    </row>
    <row r="504" spans="1:24" x14ac:dyDescent="0.25">
      <c r="A504"/>
      <c r="B504"/>
      <c r="C504"/>
      <c r="D504"/>
      <c r="F504"/>
      <c r="G504"/>
      <c r="H504"/>
      <c r="I504"/>
      <c r="K504"/>
      <c r="L504"/>
      <c r="M504"/>
      <c r="N504"/>
      <c r="P504"/>
      <c r="Q504"/>
      <c r="R504"/>
      <c r="S504"/>
      <c r="U504"/>
      <c r="V504"/>
      <c r="W504"/>
      <c r="X504"/>
    </row>
    <row r="505" spans="1:24" x14ac:dyDescent="0.25">
      <c r="A505"/>
      <c r="B505"/>
      <c r="C505"/>
      <c r="D505"/>
      <c r="F505"/>
      <c r="G505"/>
      <c r="H505"/>
      <c r="I505"/>
      <c r="K505"/>
      <c r="L505"/>
      <c r="M505"/>
      <c r="N505"/>
      <c r="P505"/>
      <c r="Q505"/>
      <c r="R505"/>
      <c r="S505"/>
      <c r="U505"/>
      <c r="V505"/>
      <c r="W505"/>
      <c r="X505"/>
    </row>
    <row r="506" spans="1:24" x14ac:dyDescent="0.25">
      <c r="A506"/>
      <c r="B506"/>
      <c r="C506"/>
      <c r="D506"/>
      <c r="F506"/>
      <c r="G506"/>
      <c r="H506"/>
      <c r="I506"/>
      <c r="K506"/>
      <c r="L506"/>
      <c r="M506"/>
      <c r="N506"/>
      <c r="P506"/>
      <c r="Q506"/>
      <c r="R506"/>
      <c r="S506"/>
      <c r="U506"/>
      <c r="V506"/>
      <c r="W506"/>
      <c r="X506"/>
    </row>
    <row r="507" spans="1:24" x14ac:dyDescent="0.25">
      <c r="A507"/>
      <c r="B507"/>
      <c r="C507"/>
      <c r="D507"/>
      <c r="F507"/>
      <c r="G507"/>
      <c r="H507"/>
      <c r="I507"/>
      <c r="K507"/>
      <c r="L507"/>
      <c r="M507"/>
      <c r="N507"/>
      <c r="P507"/>
      <c r="Q507"/>
      <c r="R507"/>
      <c r="S507"/>
      <c r="U507"/>
      <c r="V507"/>
      <c r="W507"/>
      <c r="X507"/>
    </row>
    <row r="508" spans="1:24" x14ac:dyDescent="0.25">
      <c r="A508"/>
      <c r="B508"/>
      <c r="C508"/>
      <c r="D508"/>
      <c r="F508"/>
      <c r="G508"/>
      <c r="H508"/>
      <c r="I508"/>
      <c r="K508"/>
      <c r="L508"/>
      <c r="M508"/>
      <c r="N508"/>
      <c r="P508"/>
      <c r="Q508"/>
      <c r="R508"/>
      <c r="S508"/>
      <c r="U508"/>
      <c r="V508"/>
      <c r="W508"/>
      <c r="X508"/>
    </row>
    <row r="509" spans="1:24" x14ac:dyDescent="0.25">
      <c r="A509"/>
      <c r="B509"/>
      <c r="C509"/>
      <c r="D509"/>
      <c r="F509"/>
      <c r="G509"/>
      <c r="H509"/>
      <c r="I509"/>
      <c r="K509"/>
      <c r="L509"/>
      <c r="M509"/>
      <c r="N509"/>
      <c r="P509"/>
      <c r="Q509"/>
      <c r="R509"/>
      <c r="S509"/>
      <c r="U509"/>
      <c r="V509"/>
      <c r="W509"/>
      <c r="X509"/>
    </row>
    <row r="510" spans="1:24" x14ac:dyDescent="0.25">
      <c r="A510"/>
      <c r="B510"/>
      <c r="C510"/>
      <c r="D510"/>
      <c r="F510"/>
      <c r="G510"/>
      <c r="H510"/>
      <c r="I510"/>
      <c r="K510"/>
      <c r="L510"/>
      <c r="M510"/>
      <c r="N510"/>
      <c r="P510"/>
      <c r="Q510"/>
      <c r="R510"/>
      <c r="S510"/>
      <c r="U510"/>
      <c r="V510"/>
      <c r="W510"/>
      <c r="X510"/>
    </row>
    <row r="511" spans="1:24" x14ac:dyDescent="0.25">
      <c r="A511"/>
      <c r="B511"/>
      <c r="C511"/>
      <c r="D511"/>
      <c r="F511"/>
      <c r="G511"/>
      <c r="H511"/>
      <c r="I511"/>
      <c r="K511"/>
      <c r="L511"/>
      <c r="M511"/>
      <c r="N511"/>
      <c r="P511"/>
      <c r="Q511"/>
      <c r="R511"/>
      <c r="S511"/>
      <c r="U511"/>
      <c r="V511"/>
      <c r="W511"/>
      <c r="X511"/>
    </row>
    <row r="512" spans="1:24" x14ac:dyDescent="0.25">
      <c r="A512"/>
      <c r="B512"/>
      <c r="C512"/>
      <c r="D512"/>
      <c r="F512"/>
      <c r="G512"/>
      <c r="H512"/>
      <c r="I512"/>
      <c r="K512"/>
      <c r="L512"/>
      <c r="M512"/>
      <c r="N512"/>
      <c r="P512"/>
      <c r="Q512"/>
      <c r="R512"/>
      <c r="S512"/>
      <c r="U512"/>
      <c r="V512"/>
      <c r="W512"/>
      <c r="X512"/>
    </row>
    <row r="513" spans="1:24" x14ac:dyDescent="0.25">
      <c r="A513"/>
      <c r="B513"/>
      <c r="C513"/>
      <c r="D513"/>
      <c r="F513"/>
      <c r="G513"/>
      <c r="H513"/>
      <c r="I513"/>
      <c r="K513"/>
      <c r="L513"/>
      <c r="M513"/>
      <c r="N513"/>
      <c r="P513"/>
      <c r="Q513"/>
      <c r="R513"/>
      <c r="S513"/>
      <c r="U513"/>
      <c r="V513"/>
      <c r="W513"/>
      <c r="X513"/>
    </row>
    <row r="514" spans="1:24" x14ac:dyDescent="0.25">
      <c r="A514"/>
      <c r="B514"/>
      <c r="C514"/>
      <c r="D514"/>
      <c r="F514"/>
      <c r="G514"/>
      <c r="H514"/>
      <c r="I514"/>
      <c r="K514"/>
      <c r="L514"/>
      <c r="M514"/>
      <c r="N514"/>
      <c r="P514"/>
      <c r="Q514"/>
      <c r="R514"/>
      <c r="S514"/>
      <c r="U514"/>
      <c r="V514"/>
      <c r="W514"/>
      <c r="X514"/>
    </row>
    <row r="515" spans="1:24" x14ac:dyDescent="0.25">
      <c r="A515"/>
      <c r="B515"/>
      <c r="C515"/>
      <c r="D515"/>
      <c r="F515"/>
      <c r="G515"/>
      <c r="H515"/>
      <c r="I515"/>
      <c r="K515"/>
      <c r="L515"/>
      <c r="M515"/>
      <c r="N515"/>
      <c r="P515"/>
      <c r="Q515"/>
      <c r="R515"/>
      <c r="S515"/>
      <c r="U515"/>
      <c r="V515"/>
      <c r="W515"/>
      <c r="X515"/>
    </row>
    <row r="516" spans="1:24" x14ac:dyDescent="0.25">
      <c r="A516"/>
      <c r="B516"/>
      <c r="C516"/>
      <c r="D516"/>
      <c r="F516"/>
      <c r="G516"/>
      <c r="H516"/>
      <c r="I516"/>
      <c r="K516"/>
      <c r="L516"/>
      <c r="M516"/>
      <c r="N516"/>
      <c r="P516"/>
      <c r="Q516"/>
      <c r="R516"/>
      <c r="S516"/>
      <c r="U516"/>
      <c r="V516"/>
      <c r="W516"/>
      <c r="X516"/>
    </row>
    <row r="517" spans="1:24" x14ac:dyDescent="0.25">
      <c r="A517"/>
      <c r="B517"/>
      <c r="C517"/>
      <c r="D517"/>
      <c r="F517"/>
      <c r="G517"/>
      <c r="H517"/>
      <c r="I517"/>
      <c r="K517"/>
      <c r="L517"/>
      <c r="M517"/>
      <c r="N517"/>
      <c r="P517"/>
      <c r="Q517"/>
      <c r="R517"/>
      <c r="S517"/>
      <c r="U517"/>
      <c r="V517"/>
      <c r="W517"/>
      <c r="X517"/>
    </row>
    <row r="518" spans="1:24" x14ac:dyDescent="0.25">
      <c r="A518"/>
      <c r="B518"/>
      <c r="C518"/>
      <c r="D518"/>
      <c r="F518"/>
      <c r="G518"/>
      <c r="H518"/>
      <c r="I518"/>
      <c r="K518"/>
      <c r="L518"/>
      <c r="M518"/>
      <c r="N518"/>
      <c r="P518"/>
      <c r="Q518"/>
      <c r="R518"/>
      <c r="S518"/>
      <c r="U518"/>
      <c r="V518"/>
      <c r="W518"/>
      <c r="X518"/>
    </row>
    <row r="519" spans="1:24" x14ac:dyDescent="0.25">
      <c r="A519"/>
      <c r="B519"/>
      <c r="C519"/>
      <c r="D519"/>
      <c r="F519"/>
      <c r="G519"/>
      <c r="H519"/>
      <c r="I519"/>
      <c r="K519"/>
      <c r="L519"/>
      <c r="M519"/>
      <c r="N519"/>
      <c r="P519"/>
      <c r="Q519"/>
      <c r="R519"/>
      <c r="S519"/>
      <c r="U519"/>
      <c r="V519"/>
      <c r="W519"/>
      <c r="X519"/>
    </row>
    <row r="520" spans="1:24" x14ac:dyDescent="0.25">
      <c r="A520"/>
      <c r="B520"/>
      <c r="C520"/>
      <c r="D520"/>
      <c r="F520"/>
      <c r="G520"/>
      <c r="H520"/>
      <c r="I520"/>
      <c r="K520"/>
      <c r="L520"/>
      <c r="M520"/>
      <c r="N520"/>
      <c r="P520"/>
      <c r="Q520"/>
      <c r="R520"/>
      <c r="S520"/>
      <c r="U520"/>
      <c r="V520"/>
      <c r="W520"/>
      <c r="X520"/>
    </row>
    <row r="521" spans="1:24" x14ac:dyDescent="0.25">
      <c r="A521"/>
      <c r="B521"/>
      <c r="C521"/>
      <c r="D521"/>
      <c r="F521"/>
      <c r="G521"/>
      <c r="H521"/>
      <c r="I521"/>
      <c r="K521"/>
      <c r="L521"/>
      <c r="M521"/>
      <c r="N521"/>
      <c r="P521"/>
      <c r="Q521"/>
      <c r="R521"/>
      <c r="S521"/>
      <c r="U521"/>
      <c r="V521"/>
      <c r="W521"/>
      <c r="X521"/>
    </row>
    <row r="522" spans="1:24" x14ac:dyDescent="0.25">
      <c r="A522"/>
      <c r="B522"/>
      <c r="C522"/>
      <c r="D522"/>
      <c r="F522"/>
      <c r="G522"/>
      <c r="H522"/>
      <c r="I522"/>
      <c r="K522"/>
      <c r="L522"/>
      <c r="M522"/>
      <c r="N522"/>
      <c r="P522"/>
      <c r="Q522"/>
      <c r="R522"/>
      <c r="S522"/>
      <c r="U522"/>
      <c r="V522"/>
      <c r="W522"/>
      <c r="X522"/>
    </row>
    <row r="523" spans="1:24" x14ac:dyDescent="0.25">
      <c r="A523"/>
      <c r="B523"/>
      <c r="C523"/>
      <c r="D523"/>
      <c r="F523"/>
      <c r="G523"/>
      <c r="H523"/>
      <c r="I523"/>
      <c r="K523"/>
      <c r="L523"/>
      <c r="M523"/>
      <c r="N523"/>
      <c r="P523"/>
      <c r="Q523"/>
      <c r="R523"/>
      <c r="S523"/>
      <c r="U523"/>
      <c r="V523"/>
      <c r="W523"/>
      <c r="X523"/>
    </row>
    <row r="524" spans="1:24" x14ac:dyDescent="0.25">
      <c r="A524"/>
      <c r="B524"/>
      <c r="C524"/>
      <c r="D524"/>
      <c r="F524"/>
      <c r="G524"/>
      <c r="H524"/>
      <c r="I524"/>
      <c r="K524"/>
      <c r="L524"/>
      <c r="M524"/>
      <c r="N524"/>
      <c r="P524"/>
      <c r="Q524"/>
      <c r="R524"/>
      <c r="S524"/>
      <c r="U524"/>
      <c r="V524"/>
      <c r="W524"/>
      <c r="X524"/>
    </row>
    <row r="525" spans="1:24" x14ac:dyDescent="0.25">
      <c r="A525"/>
      <c r="B525"/>
      <c r="C525"/>
      <c r="D525"/>
      <c r="F525"/>
      <c r="G525"/>
      <c r="H525"/>
      <c r="I525"/>
      <c r="K525"/>
      <c r="L525"/>
      <c r="M525"/>
      <c r="N525"/>
      <c r="P525"/>
      <c r="Q525"/>
      <c r="R525"/>
      <c r="S525"/>
      <c r="U525"/>
      <c r="V525"/>
      <c r="W525"/>
      <c r="X525"/>
    </row>
    <row r="526" spans="1:24" x14ac:dyDescent="0.25">
      <c r="A526"/>
      <c r="B526"/>
      <c r="C526"/>
      <c r="D526"/>
      <c r="F526"/>
      <c r="G526"/>
      <c r="H526"/>
      <c r="I526"/>
      <c r="K526"/>
      <c r="L526"/>
      <c r="M526"/>
      <c r="N526"/>
      <c r="P526"/>
      <c r="Q526"/>
      <c r="R526"/>
      <c r="S526"/>
      <c r="U526"/>
      <c r="V526"/>
      <c r="W526"/>
      <c r="X526"/>
    </row>
    <row r="527" spans="1:24" x14ac:dyDescent="0.25">
      <c r="A527"/>
      <c r="B527"/>
      <c r="C527"/>
      <c r="D527"/>
      <c r="F527"/>
      <c r="G527"/>
      <c r="H527"/>
      <c r="I527"/>
      <c r="K527"/>
      <c r="L527"/>
      <c r="M527"/>
      <c r="N527"/>
      <c r="P527"/>
      <c r="Q527"/>
      <c r="R527"/>
      <c r="S527"/>
      <c r="U527"/>
      <c r="V527"/>
      <c r="W527"/>
      <c r="X527"/>
    </row>
    <row r="528" spans="1:24" x14ac:dyDescent="0.25">
      <c r="A528"/>
      <c r="B528"/>
      <c r="C528"/>
      <c r="D528"/>
      <c r="F528"/>
      <c r="G528"/>
      <c r="H528"/>
      <c r="I528"/>
      <c r="K528"/>
      <c r="L528"/>
      <c r="M528"/>
      <c r="N528"/>
      <c r="P528"/>
      <c r="Q528"/>
      <c r="R528"/>
      <c r="S528"/>
      <c r="U528"/>
      <c r="V528"/>
      <c r="W528"/>
      <c r="X528"/>
    </row>
    <row r="529" spans="1:24" x14ac:dyDescent="0.25">
      <c r="A529"/>
      <c r="B529"/>
      <c r="C529"/>
      <c r="D529"/>
      <c r="F529"/>
      <c r="G529"/>
      <c r="H529"/>
      <c r="I529"/>
      <c r="K529"/>
      <c r="L529"/>
      <c r="M529"/>
      <c r="N529"/>
      <c r="P529"/>
      <c r="Q529"/>
      <c r="R529"/>
      <c r="S529"/>
      <c r="U529"/>
      <c r="V529"/>
      <c r="W529"/>
      <c r="X529"/>
    </row>
    <row r="530" spans="1:24" x14ac:dyDescent="0.25">
      <c r="A530"/>
      <c r="B530"/>
      <c r="C530"/>
      <c r="D530"/>
      <c r="F530"/>
      <c r="G530"/>
      <c r="H530"/>
      <c r="I530"/>
      <c r="K530"/>
      <c r="L530"/>
      <c r="M530"/>
      <c r="N530"/>
      <c r="P530"/>
      <c r="Q530"/>
      <c r="R530"/>
      <c r="S530"/>
      <c r="U530"/>
      <c r="V530"/>
      <c r="W530"/>
      <c r="X530"/>
    </row>
    <row r="531" spans="1:24" x14ac:dyDescent="0.25">
      <c r="A531"/>
      <c r="B531"/>
      <c r="C531"/>
      <c r="D531"/>
      <c r="F531"/>
      <c r="G531"/>
      <c r="H531"/>
      <c r="I531"/>
      <c r="K531"/>
      <c r="L531"/>
      <c r="M531"/>
      <c r="N531"/>
      <c r="P531"/>
      <c r="Q531"/>
      <c r="R531"/>
      <c r="S531"/>
      <c r="U531"/>
      <c r="V531"/>
      <c r="W531"/>
      <c r="X531"/>
    </row>
    <row r="532" spans="1:24" x14ac:dyDescent="0.25">
      <c r="A532"/>
      <c r="B532"/>
      <c r="C532"/>
      <c r="D532"/>
      <c r="F532"/>
      <c r="G532"/>
      <c r="H532"/>
      <c r="I532"/>
      <c r="K532"/>
      <c r="L532"/>
      <c r="M532"/>
      <c r="N532"/>
      <c r="P532"/>
      <c r="Q532"/>
      <c r="R532"/>
      <c r="S532"/>
      <c r="U532"/>
      <c r="V532"/>
      <c r="W532"/>
      <c r="X532"/>
    </row>
    <row r="533" spans="1:24" x14ac:dyDescent="0.25">
      <c r="A533"/>
      <c r="B533"/>
      <c r="C533"/>
      <c r="D533"/>
      <c r="F533"/>
      <c r="G533"/>
      <c r="H533"/>
      <c r="I533"/>
      <c r="K533"/>
      <c r="L533"/>
      <c r="M533"/>
      <c r="N533"/>
      <c r="P533"/>
      <c r="Q533"/>
      <c r="R533"/>
      <c r="S533"/>
      <c r="U533"/>
      <c r="V533"/>
      <c r="W533"/>
      <c r="X533"/>
    </row>
    <row r="534" spans="1:24" x14ac:dyDescent="0.25">
      <c r="A534"/>
      <c r="B534"/>
      <c r="C534"/>
      <c r="D534"/>
      <c r="F534"/>
      <c r="G534"/>
      <c r="H534"/>
      <c r="I534"/>
      <c r="K534"/>
      <c r="L534"/>
      <c r="M534"/>
      <c r="N534"/>
      <c r="P534"/>
      <c r="Q534"/>
      <c r="R534"/>
      <c r="S534"/>
      <c r="U534"/>
      <c r="V534"/>
      <c r="W534"/>
      <c r="X534"/>
    </row>
    <row r="535" spans="1:24" x14ac:dyDescent="0.25">
      <c r="A535"/>
      <c r="B535"/>
      <c r="C535"/>
      <c r="D535"/>
      <c r="F535"/>
      <c r="G535"/>
      <c r="H535"/>
      <c r="I535"/>
      <c r="K535"/>
      <c r="L535"/>
      <c r="M535"/>
      <c r="N535"/>
      <c r="P535"/>
      <c r="Q535"/>
      <c r="R535"/>
      <c r="S535"/>
      <c r="U535"/>
      <c r="V535"/>
      <c r="W535"/>
      <c r="X535"/>
    </row>
    <row r="536" spans="1:24" x14ac:dyDescent="0.25">
      <c r="A536"/>
      <c r="B536"/>
      <c r="C536"/>
      <c r="D536"/>
      <c r="F536"/>
      <c r="G536"/>
      <c r="H536"/>
      <c r="I536"/>
      <c r="K536"/>
      <c r="L536"/>
      <c r="M536"/>
      <c r="N536"/>
      <c r="P536"/>
      <c r="Q536"/>
      <c r="R536"/>
      <c r="S536"/>
      <c r="U536"/>
      <c r="V536"/>
      <c r="W536"/>
      <c r="X536"/>
    </row>
    <row r="537" spans="1:24" x14ac:dyDescent="0.25">
      <c r="A537"/>
      <c r="B537"/>
      <c r="C537"/>
      <c r="D537"/>
      <c r="F537"/>
      <c r="G537"/>
      <c r="H537"/>
      <c r="I537"/>
      <c r="K537"/>
      <c r="L537"/>
      <c r="M537"/>
      <c r="N537"/>
      <c r="P537"/>
      <c r="Q537"/>
      <c r="R537"/>
      <c r="S537"/>
      <c r="U537"/>
      <c r="V537"/>
      <c r="W537"/>
      <c r="X537"/>
    </row>
    <row r="538" spans="1:24" x14ac:dyDescent="0.25">
      <c r="A538"/>
      <c r="B538"/>
      <c r="C538"/>
      <c r="D538"/>
      <c r="F538"/>
      <c r="G538"/>
      <c r="H538"/>
      <c r="I538"/>
      <c r="K538"/>
      <c r="L538"/>
      <c r="M538"/>
      <c r="N538"/>
      <c r="P538"/>
      <c r="Q538"/>
      <c r="R538"/>
      <c r="S538"/>
      <c r="U538"/>
      <c r="V538"/>
      <c r="W538"/>
      <c r="X538"/>
    </row>
    <row r="539" spans="1:24" x14ac:dyDescent="0.25">
      <c r="A539"/>
      <c r="B539"/>
      <c r="C539"/>
      <c r="D539"/>
      <c r="F539"/>
      <c r="G539"/>
      <c r="H539"/>
      <c r="I539"/>
      <c r="K539"/>
      <c r="L539"/>
      <c r="M539"/>
      <c r="N539"/>
      <c r="P539"/>
      <c r="Q539"/>
      <c r="R539"/>
      <c r="S539"/>
      <c r="U539"/>
      <c r="V539"/>
      <c r="W539"/>
      <c r="X539"/>
    </row>
    <row r="540" spans="1:24" x14ac:dyDescent="0.25">
      <c r="A540"/>
      <c r="B540"/>
      <c r="C540"/>
      <c r="D540"/>
      <c r="F540"/>
      <c r="G540"/>
      <c r="H540"/>
      <c r="I540"/>
      <c r="K540"/>
      <c r="L540"/>
      <c r="M540"/>
      <c r="N540"/>
      <c r="P540"/>
      <c r="Q540"/>
      <c r="R540"/>
      <c r="S540"/>
      <c r="U540"/>
      <c r="V540"/>
      <c r="W540"/>
      <c r="X540"/>
    </row>
    <row r="541" spans="1:24" x14ac:dyDescent="0.25">
      <c r="A541"/>
      <c r="B541"/>
      <c r="C541"/>
      <c r="D541"/>
      <c r="F541"/>
      <c r="G541"/>
      <c r="H541"/>
      <c r="I541"/>
      <c r="K541"/>
      <c r="L541"/>
      <c r="M541"/>
      <c r="N541"/>
      <c r="P541"/>
      <c r="Q541"/>
      <c r="R541"/>
      <c r="S541"/>
      <c r="U541"/>
      <c r="V541"/>
      <c r="W541"/>
      <c r="X541"/>
    </row>
    <row r="542" spans="1:24" x14ac:dyDescent="0.25">
      <c r="A542"/>
      <c r="B542"/>
      <c r="C542"/>
      <c r="D542"/>
      <c r="F542"/>
      <c r="G542"/>
      <c r="H542"/>
      <c r="I542"/>
      <c r="K542"/>
      <c r="L542"/>
      <c r="M542"/>
      <c r="N542"/>
      <c r="P542"/>
      <c r="Q542"/>
      <c r="R542"/>
      <c r="S542"/>
      <c r="U542"/>
      <c r="V542"/>
      <c r="W542"/>
      <c r="X542"/>
    </row>
    <row r="543" spans="1:24" x14ac:dyDescent="0.25">
      <c r="A543"/>
      <c r="B543"/>
      <c r="C543"/>
      <c r="D543"/>
      <c r="F543"/>
      <c r="G543"/>
      <c r="H543"/>
      <c r="I543"/>
      <c r="K543"/>
      <c r="L543"/>
      <c r="M543"/>
      <c r="N543"/>
      <c r="P543"/>
      <c r="Q543"/>
      <c r="R543"/>
      <c r="S543"/>
      <c r="U543"/>
      <c r="V543"/>
      <c r="W543"/>
      <c r="X543"/>
    </row>
    <row r="544" spans="1:24" x14ac:dyDescent="0.25">
      <c r="A544"/>
      <c r="B544"/>
      <c r="C544"/>
      <c r="D544"/>
      <c r="F544"/>
      <c r="G544"/>
      <c r="H544"/>
      <c r="I544"/>
      <c r="K544"/>
      <c r="L544"/>
      <c r="M544"/>
      <c r="N544"/>
      <c r="P544"/>
      <c r="Q544"/>
      <c r="R544"/>
      <c r="S544"/>
      <c r="U544"/>
      <c r="V544"/>
      <c r="W544"/>
      <c r="X544"/>
    </row>
    <row r="545" spans="1:24" x14ac:dyDescent="0.25">
      <c r="A545"/>
      <c r="B545"/>
      <c r="C545"/>
      <c r="D545"/>
      <c r="F545"/>
      <c r="G545"/>
      <c r="H545"/>
      <c r="I545"/>
      <c r="K545"/>
      <c r="L545"/>
      <c r="M545"/>
      <c r="N545"/>
      <c r="P545"/>
      <c r="Q545"/>
      <c r="R545"/>
      <c r="S545"/>
      <c r="U545"/>
      <c r="V545"/>
      <c r="W545"/>
      <c r="X545"/>
    </row>
    <row r="546" spans="1:24" x14ac:dyDescent="0.25">
      <c r="A546"/>
      <c r="B546"/>
      <c r="C546"/>
      <c r="D546"/>
      <c r="F546"/>
      <c r="G546"/>
      <c r="H546"/>
      <c r="I546"/>
      <c r="K546"/>
      <c r="L546"/>
      <c r="M546"/>
      <c r="N546"/>
      <c r="P546"/>
      <c r="Q546"/>
      <c r="R546"/>
      <c r="S546"/>
      <c r="U546"/>
      <c r="V546"/>
      <c r="W546"/>
      <c r="X546"/>
    </row>
    <row r="547" spans="1:24" x14ac:dyDescent="0.25">
      <c r="A547"/>
      <c r="B547"/>
      <c r="C547"/>
      <c r="D547"/>
      <c r="F547"/>
      <c r="G547"/>
      <c r="H547"/>
      <c r="I547"/>
      <c r="K547"/>
      <c r="L547"/>
      <c r="M547"/>
      <c r="N547"/>
      <c r="P547"/>
      <c r="Q547"/>
      <c r="R547"/>
      <c r="S547"/>
      <c r="U547"/>
      <c r="V547"/>
      <c r="W547"/>
      <c r="X547"/>
    </row>
    <row r="548" spans="1:24" x14ac:dyDescent="0.25">
      <c r="A548"/>
      <c r="B548"/>
      <c r="C548"/>
      <c r="D548"/>
      <c r="F548"/>
      <c r="G548"/>
      <c r="H548"/>
      <c r="I548"/>
      <c r="K548"/>
      <c r="L548"/>
      <c r="M548"/>
      <c r="N548"/>
      <c r="P548"/>
      <c r="Q548"/>
      <c r="R548"/>
      <c r="S548"/>
      <c r="U548"/>
      <c r="V548"/>
      <c r="W548"/>
      <c r="X548"/>
    </row>
    <row r="549" spans="1:24" x14ac:dyDescent="0.25">
      <c r="A549"/>
      <c r="B549"/>
      <c r="C549"/>
      <c r="D549"/>
      <c r="F549"/>
      <c r="G549"/>
      <c r="H549"/>
      <c r="I549"/>
      <c r="K549"/>
      <c r="L549"/>
      <c r="M549"/>
      <c r="N549"/>
      <c r="P549"/>
      <c r="Q549"/>
      <c r="R549"/>
      <c r="S549"/>
      <c r="U549"/>
      <c r="V549"/>
      <c r="W549"/>
      <c r="X549"/>
    </row>
    <row r="550" spans="1:24" x14ac:dyDescent="0.25">
      <c r="A550"/>
      <c r="B550"/>
      <c r="C550"/>
      <c r="D550"/>
      <c r="F550"/>
      <c r="G550"/>
      <c r="H550"/>
      <c r="I550"/>
      <c r="K550"/>
      <c r="L550"/>
      <c r="M550"/>
      <c r="N550"/>
      <c r="P550"/>
      <c r="Q550"/>
      <c r="R550"/>
      <c r="S550"/>
      <c r="U550"/>
      <c r="V550"/>
      <c r="W550"/>
      <c r="X550"/>
    </row>
    <row r="551" spans="1:24" x14ac:dyDescent="0.25">
      <c r="A551"/>
      <c r="B551"/>
      <c r="C551"/>
      <c r="D551"/>
      <c r="F551"/>
      <c r="G551"/>
      <c r="H551"/>
      <c r="I551"/>
      <c r="K551"/>
      <c r="L551"/>
      <c r="M551"/>
      <c r="N551"/>
      <c r="P551"/>
      <c r="Q551"/>
      <c r="R551"/>
      <c r="S551"/>
      <c r="U551"/>
      <c r="V551"/>
      <c r="W551"/>
      <c r="X551"/>
    </row>
    <row r="552" spans="1:24" x14ac:dyDescent="0.25">
      <c r="A552"/>
      <c r="B552"/>
      <c r="C552"/>
      <c r="D552"/>
      <c r="F552"/>
      <c r="G552"/>
      <c r="H552"/>
      <c r="I552"/>
      <c r="K552"/>
      <c r="L552"/>
      <c r="M552"/>
      <c r="N552"/>
      <c r="P552"/>
      <c r="Q552"/>
      <c r="R552"/>
      <c r="S552"/>
      <c r="U552"/>
      <c r="V552"/>
      <c r="W552"/>
      <c r="X552"/>
    </row>
    <row r="553" spans="1:24" x14ac:dyDescent="0.25">
      <c r="A553"/>
      <c r="B553"/>
      <c r="C553"/>
      <c r="D553"/>
      <c r="F553"/>
      <c r="G553"/>
      <c r="H553"/>
      <c r="I553"/>
      <c r="K553"/>
      <c r="L553"/>
      <c r="M553"/>
      <c r="N553"/>
      <c r="P553"/>
      <c r="Q553"/>
      <c r="R553"/>
      <c r="S553"/>
      <c r="U553"/>
      <c r="V553"/>
      <c r="W553"/>
      <c r="X553"/>
    </row>
    <row r="554" spans="1:24" x14ac:dyDescent="0.25">
      <c r="A554"/>
      <c r="B554"/>
      <c r="C554"/>
      <c r="D554"/>
      <c r="F554"/>
      <c r="G554"/>
      <c r="H554"/>
      <c r="I554"/>
      <c r="K554"/>
      <c r="L554"/>
      <c r="M554"/>
      <c r="N554"/>
      <c r="P554"/>
      <c r="Q554"/>
      <c r="R554"/>
      <c r="S554"/>
      <c r="U554"/>
      <c r="V554"/>
      <c r="W554"/>
      <c r="X554"/>
    </row>
    <row r="555" spans="1:24" x14ac:dyDescent="0.25">
      <c r="A555"/>
      <c r="B555"/>
      <c r="C555"/>
      <c r="D555"/>
      <c r="F555"/>
      <c r="G555"/>
      <c r="H555"/>
      <c r="I555"/>
      <c r="K555"/>
      <c r="L555"/>
      <c r="M555"/>
      <c r="N555"/>
      <c r="P555"/>
      <c r="Q555"/>
      <c r="R555"/>
      <c r="S555"/>
      <c r="U555"/>
      <c r="V555"/>
      <c r="W555"/>
      <c r="X555"/>
    </row>
    <row r="556" spans="1:24" x14ac:dyDescent="0.25">
      <c r="A556"/>
      <c r="B556"/>
      <c r="C556"/>
      <c r="D556"/>
      <c r="F556"/>
      <c r="G556"/>
      <c r="H556"/>
      <c r="I556"/>
      <c r="K556"/>
      <c r="L556"/>
      <c r="M556"/>
      <c r="N556"/>
      <c r="P556"/>
      <c r="Q556"/>
      <c r="R556"/>
      <c r="S556"/>
      <c r="U556"/>
      <c r="V556"/>
      <c r="W556"/>
      <c r="X556"/>
    </row>
    <row r="557" spans="1:24" x14ac:dyDescent="0.25">
      <c r="A557"/>
      <c r="B557"/>
      <c r="C557"/>
      <c r="D557"/>
      <c r="F557"/>
      <c r="G557"/>
      <c r="H557"/>
      <c r="I557"/>
      <c r="K557"/>
      <c r="L557"/>
      <c r="M557"/>
      <c r="N557"/>
      <c r="P557"/>
      <c r="Q557"/>
      <c r="R557"/>
      <c r="S557"/>
      <c r="U557"/>
      <c r="V557"/>
      <c r="W557"/>
      <c r="X557"/>
    </row>
    <row r="558" spans="1:24" x14ac:dyDescent="0.25">
      <c r="A558"/>
      <c r="B558"/>
      <c r="C558"/>
      <c r="D558"/>
      <c r="F558"/>
      <c r="G558"/>
      <c r="H558"/>
      <c r="I558"/>
      <c r="K558"/>
      <c r="L558"/>
      <c r="M558"/>
      <c r="N558"/>
      <c r="P558"/>
      <c r="Q558"/>
      <c r="R558"/>
      <c r="S558"/>
      <c r="U558"/>
      <c r="V558"/>
      <c r="W558"/>
      <c r="X558"/>
    </row>
    <row r="559" spans="1:24" x14ac:dyDescent="0.25">
      <c r="A559"/>
      <c r="B559"/>
      <c r="C559"/>
      <c r="D559"/>
      <c r="F559"/>
      <c r="G559"/>
      <c r="H559"/>
      <c r="I559"/>
      <c r="K559"/>
      <c r="L559"/>
      <c r="M559"/>
      <c r="N559"/>
      <c r="P559"/>
      <c r="Q559"/>
      <c r="R559"/>
      <c r="S559"/>
      <c r="U559"/>
      <c r="V559"/>
      <c r="W559"/>
      <c r="X559"/>
    </row>
    <row r="560" spans="1:24" x14ac:dyDescent="0.25">
      <c r="A560"/>
      <c r="B560"/>
      <c r="C560"/>
      <c r="D560"/>
      <c r="F560"/>
      <c r="G560"/>
      <c r="H560"/>
      <c r="I560"/>
      <c r="K560"/>
      <c r="L560"/>
      <c r="M560"/>
      <c r="N560"/>
      <c r="P560"/>
      <c r="Q560"/>
      <c r="R560"/>
      <c r="S560"/>
      <c r="U560"/>
      <c r="V560"/>
      <c r="W560"/>
      <c r="X560"/>
    </row>
    <row r="561" spans="1:24" x14ac:dyDescent="0.25">
      <c r="A561"/>
      <c r="B561"/>
      <c r="C561"/>
      <c r="D561"/>
      <c r="F561"/>
      <c r="G561"/>
      <c r="H561"/>
      <c r="I561"/>
      <c r="K561"/>
      <c r="L561"/>
      <c r="M561"/>
      <c r="N561"/>
      <c r="P561"/>
      <c r="Q561"/>
      <c r="R561"/>
      <c r="S561"/>
      <c r="U561"/>
      <c r="V561"/>
      <c r="W561"/>
      <c r="X561"/>
    </row>
    <row r="562" spans="1:24" x14ac:dyDescent="0.25">
      <c r="A562"/>
      <c r="B562"/>
      <c r="C562"/>
      <c r="D562"/>
      <c r="F562"/>
      <c r="G562"/>
      <c r="H562"/>
      <c r="I562"/>
      <c r="K562"/>
      <c r="L562"/>
      <c r="M562"/>
      <c r="N562"/>
      <c r="P562"/>
      <c r="Q562"/>
      <c r="R562"/>
      <c r="S562"/>
      <c r="U562"/>
      <c r="V562"/>
      <c r="W562"/>
      <c r="X562"/>
    </row>
    <row r="563" spans="1:24" x14ac:dyDescent="0.25">
      <c r="A563"/>
      <c r="B563"/>
      <c r="C563"/>
      <c r="D563"/>
      <c r="F563"/>
      <c r="G563"/>
      <c r="H563"/>
      <c r="I563"/>
      <c r="K563"/>
      <c r="L563"/>
      <c r="M563"/>
      <c r="N563"/>
      <c r="P563"/>
      <c r="Q563"/>
      <c r="R563"/>
      <c r="S563"/>
      <c r="U563"/>
      <c r="V563"/>
      <c r="W563"/>
      <c r="X563"/>
    </row>
    <row r="564" spans="1:24" x14ac:dyDescent="0.25">
      <c r="A564"/>
      <c r="B564"/>
      <c r="C564"/>
      <c r="D564"/>
      <c r="F564"/>
      <c r="G564"/>
      <c r="H564"/>
      <c r="I564"/>
      <c r="K564"/>
      <c r="L564"/>
      <c r="M564"/>
      <c r="N564"/>
      <c r="P564"/>
      <c r="Q564"/>
      <c r="R564"/>
      <c r="S564"/>
      <c r="U564"/>
      <c r="V564"/>
      <c r="W564"/>
      <c r="X564"/>
    </row>
    <row r="565" spans="1:24" x14ac:dyDescent="0.25">
      <c r="A565"/>
      <c r="B565"/>
      <c r="C565"/>
      <c r="D565"/>
      <c r="F565"/>
      <c r="G565"/>
      <c r="H565"/>
      <c r="I565"/>
      <c r="K565"/>
      <c r="L565"/>
      <c r="M565"/>
      <c r="N565"/>
      <c r="P565"/>
      <c r="Q565"/>
      <c r="R565"/>
      <c r="S565"/>
      <c r="U565"/>
      <c r="V565"/>
      <c r="W565"/>
      <c r="X565"/>
    </row>
    <row r="566" spans="1:24" x14ac:dyDescent="0.25">
      <c r="A566"/>
      <c r="B566"/>
      <c r="C566"/>
      <c r="D566"/>
      <c r="F566"/>
      <c r="G566"/>
      <c r="H566"/>
      <c r="I566"/>
      <c r="K566"/>
      <c r="L566"/>
      <c r="M566"/>
      <c r="N566"/>
      <c r="P566"/>
      <c r="Q566"/>
      <c r="R566"/>
      <c r="S566"/>
      <c r="U566"/>
      <c r="V566"/>
      <c r="W566"/>
      <c r="X566"/>
    </row>
    <row r="567" spans="1:24" x14ac:dyDescent="0.25">
      <c r="A567"/>
      <c r="B567"/>
      <c r="C567"/>
      <c r="D567"/>
      <c r="F567"/>
      <c r="G567"/>
      <c r="H567"/>
      <c r="I567"/>
      <c r="K567"/>
      <c r="L567"/>
      <c r="M567"/>
      <c r="N567"/>
      <c r="P567"/>
      <c r="Q567"/>
      <c r="R567"/>
      <c r="S567"/>
      <c r="U567"/>
      <c r="V567"/>
      <c r="W567"/>
      <c r="X567"/>
    </row>
    <row r="568" spans="1:24" x14ac:dyDescent="0.25">
      <c r="A568"/>
      <c r="B568"/>
      <c r="C568"/>
      <c r="D568"/>
      <c r="F568"/>
      <c r="G568"/>
      <c r="H568"/>
      <c r="I568"/>
      <c r="K568"/>
      <c r="L568"/>
      <c r="M568"/>
      <c r="N568"/>
      <c r="P568"/>
      <c r="Q568"/>
      <c r="R568"/>
      <c r="S568"/>
      <c r="U568"/>
      <c r="V568"/>
      <c r="W568"/>
      <c r="X568"/>
    </row>
    <row r="569" spans="1:24" x14ac:dyDescent="0.25">
      <c r="A569"/>
      <c r="B569"/>
      <c r="C569"/>
      <c r="D569"/>
      <c r="F569"/>
      <c r="G569"/>
      <c r="H569"/>
      <c r="I569"/>
      <c r="K569"/>
      <c r="L569"/>
      <c r="M569"/>
      <c r="N569"/>
      <c r="P569"/>
      <c r="Q569"/>
      <c r="R569"/>
      <c r="S569"/>
      <c r="U569"/>
      <c r="V569"/>
      <c r="W569"/>
      <c r="X569"/>
    </row>
    <row r="570" spans="1:24" x14ac:dyDescent="0.25">
      <c r="A570"/>
      <c r="B570"/>
      <c r="C570"/>
      <c r="D570"/>
      <c r="F570"/>
      <c r="G570"/>
      <c r="H570"/>
      <c r="I570"/>
      <c r="K570"/>
      <c r="L570"/>
      <c r="M570"/>
      <c r="N570"/>
      <c r="P570"/>
      <c r="Q570"/>
      <c r="R570"/>
      <c r="S570"/>
      <c r="U570"/>
      <c r="V570"/>
      <c r="W570"/>
      <c r="X570"/>
    </row>
    <row r="571" spans="1:24" x14ac:dyDescent="0.25">
      <c r="A571"/>
      <c r="B571"/>
      <c r="C571"/>
      <c r="D571"/>
      <c r="F571"/>
      <c r="G571"/>
      <c r="H571"/>
      <c r="I571"/>
      <c r="K571"/>
      <c r="L571"/>
      <c r="M571"/>
      <c r="N571"/>
      <c r="P571"/>
      <c r="Q571"/>
      <c r="R571"/>
      <c r="S571"/>
      <c r="U571"/>
      <c r="V571"/>
      <c r="W571"/>
      <c r="X571"/>
    </row>
    <row r="572" spans="1:24" x14ac:dyDescent="0.25">
      <c r="A572"/>
      <c r="B572"/>
      <c r="C572"/>
      <c r="D572"/>
      <c r="F572"/>
      <c r="G572"/>
      <c r="H572"/>
      <c r="I572"/>
      <c r="K572"/>
      <c r="L572"/>
      <c r="M572"/>
      <c r="N572"/>
      <c r="P572"/>
      <c r="Q572"/>
      <c r="R572"/>
      <c r="S572"/>
      <c r="U572"/>
      <c r="V572"/>
      <c r="W572"/>
      <c r="X572"/>
    </row>
    <row r="573" spans="1:24" x14ac:dyDescent="0.25">
      <c r="A573"/>
      <c r="B573"/>
      <c r="C573"/>
      <c r="D573"/>
      <c r="F573"/>
      <c r="G573"/>
      <c r="H573"/>
      <c r="I573"/>
      <c r="K573"/>
      <c r="L573"/>
      <c r="M573"/>
      <c r="N573"/>
      <c r="P573"/>
      <c r="Q573"/>
      <c r="R573"/>
      <c r="S573"/>
      <c r="U573"/>
      <c r="V573"/>
      <c r="W573"/>
      <c r="X573"/>
    </row>
    <row r="574" spans="1:24" x14ac:dyDescent="0.25">
      <c r="A574"/>
      <c r="B574"/>
      <c r="C574"/>
      <c r="D574"/>
      <c r="F574"/>
      <c r="G574"/>
      <c r="H574"/>
      <c r="I574"/>
      <c r="K574"/>
      <c r="L574"/>
      <c r="M574"/>
      <c r="N574"/>
      <c r="P574"/>
      <c r="Q574"/>
      <c r="R574"/>
      <c r="S574"/>
      <c r="U574"/>
      <c r="V574"/>
      <c r="W574"/>
      <c r="X574"/>
    </row>
    <row r="575" spans="1:24" x14ac:dyDescent="0.25">
      <c r="A575"/>
      <c r="B575"/>
      <c r="C575"/>
      <c r="D575"/>
      <c r="F575"/>
      <c r="G575"/>
      <c r="H575"/>
      <c r="I575"/>
      <c r="K575"/>
      <c r="L575"/>
      <c r="M575"/>
      <c r="N575"/>
      <c r="P575"/>
      <c r="Q575"/>
      <c r="R575"/>
      <c r="S575"/>
      <c r="U575"/>
      <c r="V575"/>
      <c r="W575"/>
      <c r="X575"/>
    </row>
    <row r="576" spans="1:24" x14ac:dyDescent="0.25">
      <c r="A576"/>
      <c r="B576"/>
      <c r="C576"/>
      <c r="D576"/>
      <c r="F576"/>
      <c r="G576"/>
      <c r="H576"/>
      <c r="I576"/>
      <c r="K576"/>
      <c r="L576"/>
      <c r="M576"/>
      <c r="N576"/>
      <c r="P576"/>
      <c r="Q576"/>
      <c r="R576"/>
      <c r="S576"/>
      <c r="U576"/>
      <c r="V576"/>
      <c r="W576"/>
      <c r="X576"/>
    </row>
    <row r="577" spans="1:24" x14ac:dyDescent="0.25">
      <c r="A577"/>
      <c r="B577"/>
      <c r="C577"/>
      <c r="D577"/>
      <c r="F577"/>
      <c r="G577"/>
      <c r="H577"/>
      <c r="I577"/>
      <c r="K577"/>
      <c r="L577"/>
      <c r="M577"/>
      <c r="N577"/>
      <c r="P577"/>
      <c r="Q577"/>
      <c r="R577"/>
      <c r="S577"/>
      <c r="U577"/>
      <c r="V577"/>
      <c r="W577"/>
      <c r="X577"/>
    </row>
    <row r="578" spans="1:24" x14ac:dyDescent="0.25">
      <c r="A578"/>
      <c r="B578"/>
      <c r="C578"/>
      <c r="D578"/>
      <c r="F578"/>
      <c r="G578"/>
      <c r="H578"/>
      <c r="I578"/>
      <c r="K578"/>
      <c r="L578"/>
      <c r="M578"/>
      <c r="N578"/>
      <c r="P578"/>
      <c r="Q578"/>
      <c r="R578"/>
      <c r="S578"/>
      <c r="U578"/>
      <c r="V578"/>
      <c r="W578"/>
      <c r="X578"/>
    </row>
    <row r="579" spans="1:24" x14ac:dyDescent="0.25">
      <c r="A579"/>
      <c r="B579"/>
      <c r="C579"/>
      <c r="D579"/>
      <c r="F579"/>
      <c r="G579"/>
      <c r="H579"/>
      <c r="I579"/>
      <c r="K579"/>
      <c r="L579"/>
      <c r="M579"/>
      <c r="N579"/>
      <c r="P579"/>
      <c r="Q579"/>
      <c r="R579"/>
      <c r="S579"/>
      <c r="U579"/>
      <c r="V579"/>
      <c r="W579"/>
      <c r="X579"/>
    </row>
    <row r="580" spans="1:24" x14ac:dyDescent="0.25">
      <c r="A580"/>
      <c r="B580"/>
      <c r="C580"/>
      <c r="D580"/>
      <c r="F580"/>
      <c r="G580"/>
      <c r="H580"/>
      <c r="I580"/>
      <c r="K580"/>
      <c r="L580"/>
      <c r="M580"/>
      <c r="N580"/>
      <c r="P580"/>
      <c r="Q580"/>
      <c r="R580"/>
      <c r="S580"/>
      <c r="U580"/>
      <c r="V580"/>
      <c r="W580"/>
      <c r="X580"/>
    </row>
    <row r="581" spans="1:24" x14ac:dyDescent="0.25">
      <c r="A581"/>
      <c r="B581"/>
      <c r="C581"/>
      <c r="D581"/>
      <c r="F581"/>
      <c r="G581"/>
      <c r="H581"/>
      <c r="I581"/>
      <c r="K581"/>
      <c r="L581"/>
      <c r="M581"/>
      <c r="N581"/>
      <c r="P581"/>
      <c r="Q581"/>
      <c r="R581"/>
      <c r="S581"/>
      <c r="U581"/>
      <c r="V581"/>
      <c r="W581"/>
      <c r="X581"/>
    </row>
    <row r="582" spans="1:24" x14ac:dyDescent="0.25">
      <c r="A582"/>
      <c r="B582"/>
      <c r="C582"/>
      <c r="D582"/>
      <c r="F582"/>
      <c r="G582"/>
      <c r="H582"/>
      <c r="I582"/>
      <c r="K582"/>
      <c r="L582"/>
      <c r="M582"/>
      <c r="N582"/>
      <c r="P582"/>
      <c r="Q582"/>
      <c r="R582"/>
      <c r="S582"/>
      <c r="U582"/>
      <c r="V582"/>
      <c r="W582"/>
      <c r="X582"/>
    </row>
    <row r="583" spans="1:24" x14ac:dyDescent="0.25">
      <c r="A583"/>
      <c r="B583"/>
      <c r="C583"/>
      <c r="D583"/>
      <c r="F583"/>
      <c r="G583"/>
      <c r="H583"/>
      <c r="I583"/>
      <c r="K583"/>
      <c r="L583"/>
      <c r="M583"/>
      <c r="N583"/>
      <c r="P583"/>
      <c r="Q583"/>
      <c r="R583"/>
      <c r="S583"/>
      <c r="U583"/>
      <c r="V583"/>
      <c r="W583"/>
      <c r="X583"/>
    </row>
    <row r="584" spans="1:24" x14ac:dyDescent="0.25">
      <c r="A584"/>
      <c r="B584"/>
      <c r="C584"/>
      <c r="D584"/>
      <c r="F584"/>
      <c r="G584"/>
      <c r="H584"/>
      <c r="I584"/>
      <c r="K584"/>
      <c r="L584"/>
      <c r="M584"/>
      <c r="N584"/>
      <c r="P584"/>
      <c r="Q584"/>
      <c r="R584"/>
      <c r="S584"/>
      <c r="U584"/>
      <c r="V584"/>
      <c r="W584"/>
      <c r="X584"/>
    </row>
    <row r="585" spans="1:24" x14ac:dyDescent="0.25">
      <c r="A585"/>
      <c r="B585"/>
      <c r="C585"/>
      <c r="D585"/>
      <c r="F585"/>
      <c r="G585"/>
      <c r="H585"/>
      <c r="I585"/>
      <c r="K585"/>
      <c r="L585"/>
      <c r="M585"/>
      <c r="N585"/>
      <c r="P585"/>
      <c r="Q585"/>
      <c r="R585"/>
      <c r="S585"/>
      <c r="U585"/>
      <c r="V585"/>
      <c r="W585"/>
      <c r="X585"/>
    </row>
    <row r="586" spans="1:24" x14ac:dyDescent="0.25">
      <c r="A586"/>
      <c r="B586"/>
      <c r="C586"/>
      <c r="D586"/>
      <c r="F586"/>
      <c r="G586"/>
      <c r="H586"/>
      <c r="I586"/>
      <c r="K586"/>
      <c r="L586"/>
      <c r="M586"/>
      <c r="N586"/>
      <c r="P586"/>
      <c r="Q586"/>
      <c r="R586"/>
      <c r="S586"/>
      <c r="U586"/>
      <c r="V586"/>
      <c r="W586"/>
      <c r="X586"/>
    </row>
    <row r="587" spans="1:24" x14ac:dyDescent="0.25">
      <c r="A587"/>
      <c r="B587"/>
      <c r="C587"/>
      <c r="D587"/>
      <c r="F587"/>
      <c r="G587"/>
      <c r="H587"/>
      <c r="I587"/>
      <c r="K587"/>
      <c r="L587"/>
      <c r="M587"/>
      <c r="N587"/>
      <c r="P587"/>
      <c r="Q587"/>
      <c r="R587"/>
      <c r="S587"/>
      <c r="U587"/>
      <c r="V587"/>
      <c r="W587"/>
      <c r="X587"/>
    </row>
    <row r="588" spans="1:24" x14ac:dyDescent="0.25">
      <c r="A588"/>
      <c r="B588"/>
      <c r="C588"/>
      <c r="D588"/>
      <c r="F588"/>
      <c r="G588"/>
      <c r="H588"/>
      <c r="I588"/>
      <c r="K588"/>
      <c r="L588"/>
      <c r="M588"/>
      <c r="N588"/>
      <c r="P588"/>
      <c r="Q588"/>
      <c r="R588"/>
      <c r="S588"/>
      <c r="U588"/>
      <c r="V588"/>
      <c r="W588"/>
      <c r="X588"/>
    </row>
    <row r="589" spans="1:24" x14ac:dyDescent="0.25">
      <c r="A589"/>
      <c r="B589"/>
      <c r="C589"/>
      <c r="D589"/>
      <c r="F589"/>
      <c r="G589"/>
      <c r="H589"/>
      <c r="I589"/>
      <c r="K589"/>
      <c r="L589"/>
      <c r="M589"/>
      <c r="N589"/>
      <c r="P589"/>
      <c r="Q589"/>
      <c r="R589"/>
      <c r="S589"/>
      <c r="U589"/>
      <c r="V589"/>
      <c r="W589"/>
      <c r="X589"/>
    </row>
    <row r="590" spans="1:24" x14ac:dyDescent="0.25">
      <c r="A590"/>
      <c r="B590"/>
      <c r="C590"/>
      <c r="D590"/>
      <c r="F590"/>
      <c r="G590"/>
      <c r="H590"/>
      <c r="I590"/>
      <c r="K590"/>
      <c r="L590"/>
      <c r="M590"/>
      <c r="N590"/>
      <c r="P590"/>
      <c r="Q590"/>
      <c r="R590"/>
      <c r="S590"/>
      <c r="U590"/>
      <c r="V590"/>
      <c r="W590"/>
      <c r="X590"/>
    </row>
    <row r="591" spans="1:24" x14ac:dyDescent="0.25">
      <c r="A591"/>
      <c r="B591"/>
      <c r="C591"/>
      <c r="D591"/>
      <c r="F591"/>
      <c r="G591"/>
      <c r="H591"/>
      <c r="I591"/>
      <c r="K591"/>
      <c r="L591"/>
      <c r="M591"/>
      <c r="N591"/>
      <c r="P591"/>
      <c r="Q591"/>
      <c r="R591"/>
      <c r="S591"/>
      <c r="U591"/>
      <c r="V591"/>
      <c r="W591"/>
      <c r="X591"/>
    </row>
    <row r="592" spans="1:24" x14ac:dyDescent="0.25">
      <c r="A592"/>
      <c r="B592"/>
      <c r="C592"/>
      <c r="D592"/>
      <c r="F592"/>
      <c r="G592"/>
      <c r="H592"/>
      <c r="I592"/>
      <c r="K592"/>
      <c r="L592"/>
      <c r="M592"/>
      <c r="N592"/>
      <c r="P592"/>
      <c r="Q592"/>
      <c r="R592"/>
      <c r="S592"/>
      <c r="U592"/>
      <c r="V592"/>
      <c r="W592"/>
      <c r="X592"/>
    </row>
    <row r="593" spans="1:24" x14ac:dyDescent="0.25">
      <c r="A593"/>
      <c r="B593"/>
      <c r="C593"/>
      <c r="D593"/>
      <c r="F593"/>
      <c r="G593"/>
      <c r="H593"/>
      <c r="I593"/>
      <c r="K593"/>
      <c r="L593"/>
      <c r="M593"/>
      <c r="N593"/>
      <c r="P593"/>
      <c r="Q593"/>
      <c r="R593"/>
      <c r="S593"/>
      <c r="U593"/>
      <c r="V593"/>
      <c r="W593"/>
      <c r="X593"/>
    </row>
    <row r="594" spans="1:24" x14ac:dyDescent="0.25">
      <c r="A594"/>
      <c r="B594"/>
      <c r="C594"/>
      <c r="D594"/>
      <c r="F594"/>
      <c r="G594"/>
      <c r="H594"/>
      <c r="I594"/>
      <c r="K594"/>
      <c r="L594"/>
      <c r="M594"/>
      <c r="N594"/>
      <c r="P594"/>
      <c r="Q594"/>
      <c r="R594"/>
      <c r="S594"/>
      <c r="U594"/>
      <c r="V594"/>
      <c r="W594"/>
      <c r="X594"/>
    </row>
    <row r="595" spans="1:24" x14ac:dyDescent="0.25">
      <c r="A595"/>
      <c r="B595"/>
      <c r="C595"/>
      <c r="D595"/>
      <c r="F595"/>
      <c r="G595"/>
      <c r="H595"/>
      <c r="I595"/>
      <c r="K595"/>
      <c r="L595"/>
      <c r="M595"/>
      <c r="N595"/>
      <c r="P595"/>
      <c r="Q595"/>
      <c r="R595"/>
      <c r="S595"/>
      <c r="U595"/>
      <c r="V595"/>
      <c r="W595"/>
      <c r="X595"/>
    </row>
    <row r="596" spans="1:24" x14ac:dyDescent="0.25">
      <c r="A596"/>
      <c r="B596"/>
      <c r="C596"/>
      <c r="D596"/>
      <c r="F596"/>
      <c r="G596"/>
      <c r="H596"/>
      <c r="I596"/>
      <c r="K596"/>
      <c r="L596"/>
      <c r="M596"/>
      <c r="N596"/>
      <c r="P596"/>
      <c r="Q596"/>
      <c r="R596"/>
      <c r="S596"/>
      <c r="U596"/>
      <c r="V596"/>
      <c r="W596"/>
      <c r="X596"/>
    </row>
    <row r="597" spans="1:24" x14ac:dyDescent="0.25">
      <c r="A597"/>
      <c r="B597"/>
      <c r="C597"/>
      <c r="D597"/>
      <c r="F597"/>
      <c r="G597"/>
      <c r="H597"/>
      <c r="I597"/>
      <c r="K597"/>
      <c r="L597"/>
      <c r="M597"/>
      <c r="N597"/>
      <c r="P597"/>
      <c r="Q597"/>
      <c r="R597"/>
      <c r="S597"/>
      <c r="U597"/>
      <c r="V597"/>
      <c r="W597"/>
      <c r="X597"/>
    </row>
    <row r="598" spans="1:24" x14ac:dyDescent="0.25">
      <c r="A598"/>
      <c r="B598"/>
      <c r="C598"/>
      <c r="D598"/>
      <c r="F598"/>
      <c r="G598"/>
      <c r="H598"/>
      <c r="I598"/>
      <c r="K598"/>
      <c r="L598"/>
      <c r="M598"/>
      <c r="N598"/>
      <c r="P598"/>
      <c r="Q598"/>
      <c r="R598"/>
      <c r="S598"/>
      <c r="U598"/>
      <c r="V598"/>
      <c r="W598"/>
      <c r="X598"/>
    </row>
    <row r="599" spans="1:24" x14ac:dyDescent="0.25">
      <c r="A599"/>
      <c r="B599"/>
      <c r="C599"/>
      <c r="D599"/>
      <c r="F599"/>
      <c r="G599"/>
      <c r="H599"/>
      <c r="I599"/>
      <c r="K599"/>
      <c r="L599"/>
      <c r="M599"/>
      <c r="N599"/>
      <c r="P599"/>
      <c r="Q599"/>
      <c r="R599"/>
      <c r="S599"/>
      <c r="U599"/>
      <c r="V599"/>
      <c r="W599"/>
      <c r="X599"/>
    </row>
    <row r="600" spans="1:24" x14ac:dyDescent="0.25">
      <c r="A600"/>
      <c r="B600"/>
      <c r="C600"/>
      <c r="D600"/>
      <c r="F600"/>
      <c r="G600"/>
      <c r="H600"/>
      <c r="I600"/>
      <c r="K600"/>
      <c r="L600"/>
      <c r="M600"/>
      <c r="N600"/>
      <c r="P600"/>
      <c r="Q600"/>
      <c r="R600"/>
      <c r="S600"/>
      <c r="U600"/>
      <c r="V600"/>
      <c r="W600"/>
      <c r="X600"/>
    </row>
    <row r="601" spans="1:24" x14ac:dyDescent="0.25">
      <c r="A601"/>
      <c r="B601"/>
      <c r="C601"/>
      <c r="D601"/>
      <c r="F601"/>
      <c r="G601"/>
      <c r="H601"/>
      <c r="I601"/>
      <c r="K601"/>
      <c r="L601"/>
      <c r="M601"/>
      <c r="N601"/>
      <c r="P601"/>
      <c r="Q601"/>
      <c r="R601"/>
      <c r="S601"/>
      <c r="U601"/>
      <c r="V601"/>
      <c r="W601"/>
      <c r="X601"/>
    </row>
    <row r="602" spans="1:24" x14ac:dyDescent="0.25">
      <c r="A602"/>
      <c r="B602"/>
      <c r="C602"/>
      <c r="D602"/>
      <c r="F602"/>
      <c r="G602"/>
      <c r="H602"/>
      <c r="I602"/>
      <c r="K602"/>
      <c r="L602"/>
      <c r="M602"/>
      <c r="N602"/>
      <c r="P602"/>
      <c r="Q602"/>
      <c r="R602"/>
      <c r="S602"/>
      <c r="U602"/>
      <c r="V602"/>
      <c r="W602"/>
      <c r="X602"/>
    </row>
    <row r="603" spans="1:24" x14ac:dyDescent="0.25">
      <c r="A603"/>
      <c r="B603"/>
      <c r="C603"/>
      <c r="D603"/>
      <c r="F603"/>
      <c r="G603"/>
      <c r="H603"/>
      <c r="I603"/>
      <c r="K603"/>
      <c r="L603"/>
      <c r="M603"/>
      <c r="N603"/>
      <c r="P603"/>
      <c r="Q603"/>
      <c r="R603"/>
      <c r="S603"/>
      <c r="U603"/>
      <c r="V603"/>
      <c r="W603"/>
      <c r="X603"/>
    </row>
    <row r="604" spans="1:24" x14ac:dyDescent="0.25">
      <c r="A604"/>
      <c r="B604"/>
      <c r="C604"/>
      <c r="D604"/>
      <c r="F604"/>
      <c r="G604"/>
      <c r="H604"/>
      <c r="I604"/>
      <c r="K604"/>
      <c r="L604"/>
      <c r="M604"/>
      <c r="N604"/>
      <c r="P604"/>
      <c r="Q604"/>
      <c r="R604"/>
      <c r="S604"/>
      <c r="U604"/>
      <c r="V604"/>
      <c r="W604"/>
      <c r="X604"/>
    </row>
    <row r="605" spans="1:24" x14ac:dyDescent="0.25">
      <c r="A605"/>
      <c r="B605"/>
      <c r="C605"/>
      <c r="D605"/>
      <c r="F605"/>
      <c r="G605"/>
      <c r="H605"/>
      <c r="I605"/>
      <c r="K605"/>
      <c r="L605"/>
      <c r="M605"/>
      <c r="N605"/>
      <c r="P605"/>
      <c r="Q605"/>
      <c r="R605"/>
      <c r="S605"/>
      <c r="U605"/>
      <c r="V605"/>
      <c r="W605"/>
      <c r="X605"/>
    </row>
    <row r="606" spans="1:24" x14ac:dyDescent="0.25">
      <c r="A606"/>
      <c r="B606"/>
      <c r="C606"/>
      <c r="D606"/>
      <c r="F606"/>
      <c r="G606"/>
      <c r="H606"/>
      <c r="I606"/>
      <c r="K606"/>
      <c r="L606"/>
      <c r="M606"/>
      <c r="N606"/>
      <c r="P606"/>
      <c r="Q606"/>
      <c r="R606"/>
      <c r="S606"/>
      <c r="U606"/>
      <c r="V606"/>
      <c r="W606"/>
      <c r="X606"/>
    </row>
    <row r="607" spans="1:24" x14ac:dyDescent="0.25">
      <c r="A607"/>
      <c r="B607"/>
      <c r="C607"/>
      <c r="D607"/>
      <c r="F607"/>
      <c r="G607"/>
      <c r="H607"/>
      <c r="I607"/>
      <c r="K607"/>
      <c r="L607"/>
      <c r="M607"/>
      <c r="N607"/>
      <c r="P607"/>
      <c r="Q607"/>
      <c r="R607"/>
      <c r="S607"/>
      <c r="U607"/>
      <c r="V607"/>
      <c r="W607"/>
      <c r="X607"/>
    </row>
    <row r="608" spans="1:24" x14ac:dyDescent="0.25">
      <c r="A608"/>
      <c r="B608"/>
      <c r="C608"/>
      <c r="D608"/>
      <c r="F608"/>
      <c r="G608"/>
      <c r="H608"/>
      <c r="I608"/>
      <c r="K608"/>
      <c r="L608"/>
      <c r="M608"/>
      <c r="N608"/>
      <c r="P608"/>
      <c r="Q608"/>
      <c r="R608"/>
      <c r="S608"/>
      <c r="U608"/>
      <c r="V608"/>
      <c r="W608"/>
      <c r="X608"/>
    </row>
  </sheetData>
  <sheetProtection sheet="1" objects="1" scenarios="1" formatCells="0" autoFilter="0" pivotTables="0"/>
  <mergeCells count="5">
    <mergeCell ref="F2:H2"/>
    <mergeCell ref="K2:M2"/>
    <mergeCell ref="P2:R2"/>
    <mergeCell ref="U2:W2"/>
    <mergeCell ref="A2:C2"/>
  </mergeCells>
  <pageMargins left="0.7" right="0.7" top="0.75" bottom="0.75" header="0.3" footer="0.3"/>
  <pageSetup paperSize="9"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32899-80B3-45AF-A9BA-365667D998EE}">
  <sheetPr codeName="Sheet4"/>
  <dimension ref="A1:N778"/>
  <sheetViews>
    <sheetView workbookViewId="0">
      <selection activeCell="G25" sqref="G25"/>
    </sheetView>
  </sheetViews>
  <sheetFormatPr defaultColWidth="8.7109375" defaultRowHeight="15" x14ac:dyDescent="0.25"/>
  <cols>
    <col min="1" max="1" width="13.5703125" style="30" customWidth="1"/>
    <col min="2" max="2" width="11" style="30" customWidth="1"/>
    <col min="3" max="3" width="20.140625" style="30" bestFit="1" customWidth="1"/>
    <col min="4" max="4" width="19.5703125" style="30" bestFit="1" customWidth="1"/>
    <col min="5" max="5" width="23.42578125" style="30" bestFit="1" customWidth="1"/>
    <col min="6" max="6" width="22.140625" style="55" bestFit="1" customWidth="1"/>
    <col min="7" max="7" width="25.85546875" style="30" bestFit="1" customWidth="1"/>
    <col min="8" max="8" width="21" style="60" bestFit="1" customWidth="1"/>
    <col min="9" max="9" width="20" style="60" bestFit="1" customWidth="1"/>
    <col min="10" max="14" width="20" style="30" bestFit="1" customWidth="1"/>
    <col min="15" max="16384" width="8.7109375" style="30"/>
  </cols>
  <sheetData>
    <row r="1" spans="1:14" x14ac:dyDescent="0.25">
      <c r="A1" s="121" t="s">
        <v>1</v>
      </c>
    </row>
    <row r="2" spans="1:14" x14ac:dyDescent="0.25">
      <c r="A2" s="174" t="s">
        <v>213</v>
      </c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</row>
    <row r="3" spans="1:14" x14ac:dyDescent="0.25">
      <c r="A3" s="49" t="s">
        <v>18</v>
      </c>
      <c r="B3" s="49" t="s">
        <v>214</v>
      </c>
      <c r="C3" s="49" t="s">
        <v>5</v>
      </c>
      <c r="D3" s="30" t="s">
        <v>215</v>
      </c>
      <c r="E3" s="30" t="s">
        <v>216</v>
      </c>
      <c r="F3" s="60" t="s">
        <v>217</v>
      </c>
      <c r="G3" s="30" t="s">
        <v>218</v>
      </c>
      <c r="H3" s="30" t="s">
        <v>219</v>
      </c>
      <c r="I3"/>
      <c r="J3"/>
      <c r="K3"/>
      <c r="L3"/>
      <c r="M3"/>
      <c r="N3"/>
    </row>
    <row r="4" spans="1:14" x14ac:dyDescent="0.25">
      <c r="A4" s="30" t="s">
        <v>220</v>
      </c>
      <c r="D4" s="30">
        <v>0</v>
      </c>
      <c r="E4" s="30">
        <v>0</v>
      </c>
      <c r="F4" s="60" t="e">
        <v>#DIV/0!</v>
      </c>
      <c r="G4" s="30" t="e">
        <v>#DIV/0!</v>
      </c>
      <c r="H4" s="30" t="e">
        <v>#DIV/0!</v>
      </c>
      <c r="I4"/>
      <c r="J4"/>
      <c r="K4"/>
      <c r="L4"/>
      <c r="M4"/>
      <c r="N4"/>
    </row>
    <row r="5" spans="1:14" x14ac:dyDescent="0.25">
      <c r="B5" s="30" t="s">
        <v>220</v>
      </c>
      <c r="F5" s="60"/>
      <c r="G5" s="30" t="e">
        <v>#DIV/0!</v>
      </c>
      <c r="H5" s="30" t="e">
        <v>#DIV/0!</v>
      </c>
      <c r="I5"/>
      <c r="J5"/>
      <c r="K5"/>
      <c r="L5"/>
      <c r="M5"/>
      <c r="N5"/>
    </row>
    <row r="6" spans="1:14" x14ac:dyDescent="0.25">
      <c r="C6" s="30" t="s">
        <v>220</v>
      </c>
      <c r="F6" s="60"/>
      <c r="G6" s="30" t="e">
        <v>#DIV/0!</v>
      </c>
      <c r="H6" s="30" t="e">
        <v>#DIV/0!</v>
      </c>
      <c r="I6"/>
      <c r="J6"/>
      <c r="K6"/>
      <c r="L6"/>
      <c r="M6"/>
      <c r="N6"/>
    </row>
    <row r="7" spans="1:14" x14ac:dyDescent="0.25">
      <c r="B7" s="30" t="s">
        <v>221</v>
      </c>
      <c r="D7" s="30">
        <v>0</v>
      </c>
      <c r="E7" s="30">
        <v>0</v>
      </c>
      <c r="F7" s="60" t="e">
        <v>#DIV/0!</v>
      </c>
      <c r="G7" s="30" t="e">
        <v>#DIV/0!</v>
      </c>
      <c r="H7" s="30" t="e">
        <v>#DIV/0!</v>
      </c>
      <c r="I7"/>
      <c r="J7"/>
      <c r="K7"/>
      <c r="L7"/>
      <c r="M7"/>
      <c r="N7"/>
    </row>
    <row r="8" spans="1:14" x14ac:dyDescent="0.25">
      <c r="C8" s="30" t="s">
        <v>220</v>
      </c>
      <c r="D8" s="30">
        <v>0</v>
      </c>
      <c r="E8" s="30">
        <v>0</v>
      </c>
      <c r="F8" s="60" t="e">
        <v>#DIV/0!</v>
      </c>
      <c r="G8" s="30" t="e">
        <v>#DIV/0!</v>
      </c>
      <c r="H8" s="30" t="e">
        <v>#DIV/0!</v>
      </c>
      <c r="I8"/>
      <c r="J8"/>
      <c r="K8"/>
      <c r="L8"/>
      <c r="M8"/>
      <c r="N8"/>
    </row>
    <row r="9" spans="1:14" x14ac:dyDescent="0.25">
      <c r="A9" s="30" t="s">
        <v>30</v>
      </c>
      <c r="D9" s="30">
        <v>345</v>
      </c>
      <c r="E9" s="30">
        <v>20</v>
      </c>
      <c r="F9" s="60">
        <v>395</v>
      </c>
      <c r="G9" s="30">
        <v>0.87341772151898733</v>
      </c>
      <c r="H9" s="30">
        <v>5.0632911392405063E-2</v>
      </c>
      <c r="I9"/>
      <c r="J9"/>
      <c r="K9"/>
      <c r="L9"/>
      <c r="M9"/>
      <c r="N9"/>
    </row>
    <row r="10" spans="1:14" x14ac:dyDescent="0.25">
      <c r="B10" s="30" t="s">
        <v>221</v>
      </c>
      <c r="D10" s="30">
        <v>345</v>
      </c>
      <c r="E10" s="30">
        <v>20</v>
      </c>
      <c r="F10" s="60">
        <v>395</v>
      </c>
      <c r="G10" s="30">
        <v>0.87341772151898733</v>
      </c>
      <c r="H10" s="30">
        <v>5.0632911392405063E-2</v>
      </c>
      <c r="I10"/>
      <c r="J10"/>
      <c r="K10"/>
      <c r="L10"/>
      <c r="M10"/>
      <c r="N10"/>
    </row>
    <row r="11" spans="1:14" x14ac:dyDescent="0.25">
      <c r="C11" s="30" t="s">
        <v>828</v>
      </c>
      <c r="D11" s="30">
        <v>345</v>
      </c>
      <c r="E11" s="30">
        <v>20</v>
      </c>
      <c r="F11" s="60">
        <v>395</v>
      </c>
      <c r="G11" s="30">
        <v>0.87341772151898733</v>
      </c>
      <c r="H11" s="30">
        <v>5.0632911392405063E-2</v>
      </c>
      <c r="I11"/>
      <c r="J11"/>
      <c r="K11"/>
      <c r="L11"/>
      <c r="M11"/>
      <c r="N11"/>
    </row>
    <row r="12" spans="1:14" x14ac:dyDescent="0.25">
      <c r="A12" s="30" t="s">
        <v>29</v>
      </c>
      <c r="D12" s="30">
        <v>173</v>
      </c>
      <c r="E12" s="30">
        <v>10.028985507246377</v>
      </c>
      <c r="F12" s="60">
        <v>466</v>
      </c>
      <c r="G12" s="30">
        <v>0.37124463519313305</v>
      </c>
      <c r="H12" s="30">
        <v>2.1521428127138149E-2</v>
      </c>
      <c r="I12"/>
      <c r="J12"/>
      <c r="K12"/>
      <c r="L12"/>
      <c r="M12"/>
      <c r="N12"/>
    </row>
    <row r="13" spans="1:14" x14ac:dyDescent="0.25">
      <c r="B13" s="30" t="s">
        <v>221</v>
      </c>
      <c r="D13" s="30">
        <v>173</v>
      </c>
      <c r="E13" s="30">
        <v>10.028985507246377</v>
      </c>
      <c r="F13" s="60">
        <v>466</v>
      </c>
      <c r="G13" s="30">
        <v>0.37124463519313305</v>
      </c>
      <c r="H13" s="30">
        <v>2.1521428127138149E-2</v>
      </c>
      <c r="I13"/>
      <c r="J13"/>
      <c r="K13"/>
      <c r="L13"/>
      <c r="M13"/>
      <c r="N13"/>
    </row>
    <row r="14" spans="1:14" x14ac:dyDescent="0.25">
      <c r="C14" s="30" t="s">
        <v>828</v>
      </c>
      <c r="D14" s="30">
        <v>173</v>
      </c>
      <c r="E14" s="30">
        <v>10.028985507246377</v>
      </c>
      <c r="F14" s="60">
        <v>466</v>
      </c>
      <c r="G14" s="30">
        <v>0.37124463519313305</v>
      </c>
      <c r="H14" s="30">
        <v>2.1521428127138149E-2</v>
      </c>
      <c r="I14"/>
      <c r="J14"/>
      <c r="K14"/>
      <c r="L14"/>
      <c r="M14"/>
      <c r="N14"/>
    </row>
    <row r="15" spans="1:14" x14ac:dyDescent="0.25">
      <c r="A15" s="30" t="s">
        <v>33</v>
      </c>
      <c r="D15" s="30">
        <v>345</v>
      </c>
      <c r="E15" s="30">
        <v>20</v>
      </c>
      <c r="F15" s="60">
        <v>684</v>
      </c>
      <c r="G15" s="30">
        <v>0.50438596491228072</v>
      </c>
      <c r="H15" s="30">
        <v>2.9239766081871343E-2</v>
      </c>
      <c r="I15"/>
      <c r="J15"/>
      <c r="K15"/>
      <c r="L15"/>
      <c r="M15"/>
      <c r="N15"/>
    </row>
    <row r="16" spans="1:14" x14ac:dyDescent="0.25">
      <c r="B16" s="30" t="s">
        <v>221</v>
      </c>
      <c r="D16" s="30">
        <v>345</v>
      </c>
      <c r="E16" s="30">
        <v>20</v>
      </c>
      <c r="F16" s="60">
        <v>684</v>
      </c>
      <c r="G16" s="30">
        <v>0.50438596491228072</v>
      </c>
      <c r="H16" s="30">
        <v>2.9239766081871343E-2</v>
      </c>
      <c r="I16"/>
      <c r="J16"/>
      <c r="K16"/>
      <c r="L16"/>
      <c r="M16"/>
      <c r="N16"/>
    </row>
    <row r="17" spans="1:14" x14ac:dyDescent="0.25">
      <c r="C17" s="30" t="s">
        <v>824</v>
      </c>
      <c r="D17" s="30">
        <v>345</v>
      </c>
      <c r="E17" s="30">
        <v>20</v>
      </c>
      <c r="F17" s="60">
        <v>684</v>
      </c>
      <c r="G17" s="30">
        <v>0.50438596491228072</v>
      </c>
      <c r="H17" s="30">
        <v>2.9239766081871343E-2</v>
      </c>
      <c r="I17"/>
      <c r="J17"/>
      <c r="K17"/>
      <c r="L17"/>
      <c r="M17"/>
      <c r="N17"/>
    </row>
    <row r="18" spans="1:14" x14ac:dyDescent="0.25">
      <c r="A18" s="30" t="s">
        <v>34</v>
      </c>
      <c r="D18" s="30">
        <v>100</v>
      </c>
      <c r="E18" s="30">
        <v>5.7971014492753623</v>
      </c>
      <c r="F18" s="60">
        <v>290</v>
      </c>
      <c r="G18" s="30">
        <v>0.34482758620689657</v>
      </c>
      <c r="H18" s="30">
        <v>1.999000499750125E-2</v>
      </c>
      <c r="I18"/>
      <c r="J18"/>
      <c r="K18"/>
      <c r="L18"/>
      <c r="M18"/>
      <c r="N18"/>
    </row>
    <row r="19" spans="1:14" x14ac:dyDescent="0.25">
      <c r="B19" s="30" t="s">
        <v>221</v>
      </c>
      <c r="D19" s="30">
        <v>100</v>
      </c>
      <c r="E19" s="30">
        <v>5.7971014492753623</v>
      </c>
      <c r="F19" s="60">
        <v>290</v>
      </c>
      <c r="G19" s="30">
        <v>0.34482758620689657</v>
      </c>
      <c r="H19" s="30">
        <v>1.999000499750125E-2</v>
      </c>
      <c r="I19"/>
      <c r="J19"/>
      <c r="K19"/>
      <c r="L19"/>
      <c r="M19"/>
      <c r="N19"/>
    </row>
    <row r="20" spans="1:14" x14ac:dyDescent="0.25">
      <c r="C20" s="30" t="s">
        <v>825</v>
      </c>
      <c r="D20" s="30">
        <v>100</v>
      </c>
      <c r="E20" s="30">
        <v>5.7971014492753623</v>
      </c>
      <c r="F20" s="60">
        <v>290</v>
      </c>
      <c r="G20" s="30">
        <v>0.34482758620689657</v>
      </c>
      <c r="H20" s="30">
        <v>1.999000499750125E-2</v>
      </c>
      <c r="I20"/>
      <c r="J20"/>
      <c r="K20"/>
      <c r="L20"/>
      <c r="M20"/>
      <c r="N20"/>
    </row>
    <row r="21" spans="1:14" x14ac:dyDescent="0.25">
      <c r="A21" s="30" t="s">
        <v>89</v>
      </c>
      <c r="D21" s="30">
        <v>690</v>
      </c>
      <c r="E21" s="30">
        <v>40</v>
      </c>
      <c r="F21" s="60">
        <v>961</v>
      </c>
      <c r="G21" s="30">
        <v>0.23933402705515089</v>
      </c>
      <c r="H21" s="30">
        <v>1.387443635102324E-2</v>
      </c>
      <c r="I21"/>
      <c r="J21"/>
      <c r="K21"/>
      <c r="L21"/>
      <c r="M21"/>
      <c r="N21"/>
    </row>
    <row r="22" spans="1:14" x14ac:dyDescent="0.25">
      <c r="B22" s="30" t="s">
        <v>221</v>
      </c>
      <c r="D22" s="30">
        <v>690</v>
      </c>
      <c r="E22" s="30">
        <v>40</v>
      </c>
      <c r="F22" s="60">
        <v>961</v>
      </c>
      <c r="G22" s="30">
        <v>0.23933402705515089</v>
      </c>
      <c r="H22" s="30">
        <v>1.387443635102324E-2</v>
      </c>
      <c r="I22"/>
      <c r="J22"/>
      <c r="K22"/>
      <c r="L22"/>
      <c r="M22"/>
      <c r="N22"/>
    </row>
    <row r="23" spans="1:14" x14ac:dyDescent="0.25">
      <c r="C23" s="30" t="s">
        <v>827</v>
      </c>
      <c r="D23" s="30">
        <v>215</v>
      </c>
      <c r="E23" s="30">
        <v>12.463768115942029</v>
      </c>
      <c r="F23" s="60">
        <v>961</v>
      </c>
      <c r="G23" s="30">
        <v>0.22372528616024975</v>
      </c>
      <c r="H23" s="30">
        <v>1.296958180639129E-2</v>
      </c>
      <c r="I23"/>
      <c r="J23"/>
      <c r="K23"/>
      <c r="L23"/>
      <c r="M23"/>
      <c r="N23"/>
    </row>
    <row r="24" spans="1:14" x14ac:dyDescent="0.25">
      <c r="C24" s="30" t="s">
        <v>829</v>
      </c>
      <c r="D24" s="30">
        <v>345</v>
      </c>
      <c r="E24" s="30">
        <v>20</v>
      </c>
      <c r="F24" s="60">
        <v>961</v>
      </c>
      <c r="G24" s="30">
        <v>0.35900104058272631</v>
      </c>
      <c r="H24" s="30">
        <v>2.081165452653486E-2</v>
      </c>
      <c r="I24"/>
      <c r="J24"/>
      <c r="K24"/>
      <c r="L24"/>
      <c r="M24"/>
      <c r="N24"/>
    </row>
    <row r="25" spans="1:14" x14ac:dyDescent="0.25">
      <c r="C25" s="30" t="s">
        <v>830</v>
      </c>
      <c r="D25" s="30">
        <v>130</v>
      </c>
      <c r="E25" s="30">
        <v>7.5362318840579707</v>
      </c>
      <c r="F25" s="60">
        <v>961</v>
      </c>
      <c r="G25" s="30">
        <v>0.13527575442247658</v>
      </c>
      <c r="H25" s="30">
        <v>7.8420727201435701E-3</v>
      </c>
      <c r="I25"/>
      <c r="J25"/>
      <c r="K25"/>
      <c r="L25"/>
      <c r="M25"/>
      <c r="N25"/>
    </row>
    <row r="26" spans="1:14" x14ac:dyDescent="0.25">
      <c r="A26" s="30" t="s">
        <v>95</v>
      </c>
      <c r="D26" s="30">
        <v>690</v>
      </c>
      <c r="E26" s="30">
        <v>40</v>
      </c>
      <c r="F26" s="60">
        <v>868</v>
      </c>
      <c r="G26" s="30">
        <v>0.26497695852534564</v>
      </c>
      <c r="H26" s="30">
        <v>1.5360983102918587E-2</v>
      </c>
      <c r="I26"/>
      <c r="J26"/>
      <c r="K26"/>
      <c r="L26"/>
      <c r="M26"/>
      <c r="N26"/>
    </row>
    <row r="27" spans="1:14" x14ac:dyDescent="0.25">
      <c r="B27" s="30" t="s">
        <v>221</v>
      </c>
      <c r="D27" s="30">
        <v>690</v>
      </c>
      <c r="E27" s="30">
        <v>40</v>
      </c>
      <c r="F27" s="60">
        <v>868</v>
      </c>
      <c r="G27" s="30">
        <v>0.26497695852534564</v>
      </c>
      <c r="H27" s="30">
        <v>1.5360983102918587E-2</v>
      </c>
      <c r="I27"/>
      <c r="J27"/>
      <c r="K27"/>
      <c r="L27"/>
      <c r="M27"/>
      <c r="N27"/>
    </row>
    <row r="28" spans="1:14" x14ac:dyDescent="0.25">
      <c r="C28" s="30" t="s">
        <v>827</v>
      </c>
      <c r="D28" s="30">
        <v>215</v>
      </c>
      <c r="E28" s="30">
        <v>12.463768115942029</v>
      </c>
      <c r="F28" s="60">
        <v>868</v>
      </c>
      <c r="G28" s="30">
        <v>0.24769585253456222</v>
      </c>
      <c r="H28" s="30">
        <v>1.4359179857076071E-2</v>
      </c>
      <c r="I28"/>
      <c r="J28"/>
      <c r="K28"/>
      <c r="L28"/>
      <c r="M28"/>
      <c r="N28"/>
    </row>
    <row r="29" spans="1:14" x14ac:dyDescent="0.25">
      <c r="C29" s="30" t="s">
        <v>826</v>
      </c>
      <c r="D29" s="30">
        <v>345</v>
      </c>
      <c r="E29" s="30">
        <v>20</v>
      </c>
      <c r="F29" s="60">
        <v>868</v>
      </c>
      <c r="G29" s="30">
        <v>0.39746543778801846</v>
      </c>
      <c r="H29" s="30">
        <v>2.3041474654377881E-2</v>
      </c>
      <c r="I29"/>
      <c r="J29"/>
      <c r="K29"/>
      <c r="L29"/>
      <c r="M29"/>
      <c r="N29"/>
    </row>
    <row r="30" spans="1:14" x14ac:dyDescent="0.25">
      <c r="C30" s="30" t="s">
        <v>831</v>
      </c>
      <c r="D30" s="30">
        <v>130</v>
      </c>
      <c r="E30" s="30">
        <v>7.5362318840579707</v>
      </c>
      <c r="F30" s="60">
        <v>868</v>
      </c>
      <c r="G30" s="30">
        <v>0.14976958525345621</v>
      </c>
      <c r="H30" s="30">
        <v>8.6822947973018098E-3</v>
      </c>
      <c r="I30"/>
      <c r="J30"/>
      <c r="K30"/>
      <c r="L30"/>
      <c r="M30"/>
      <c r="N30"/>
    </row>
    <row r="31" spans="1:14" x14ac:dyDescent="0.25">
      <c r="A31" s="30" t="s">
        <v>107</v>
      </c>
      <c r="D31" s="30">
        <v>690</v>
      </c>
      <c r="E31" s="30">
        <v>40</v>
      </c>
      <c r="F31" s="60">
        <v>637</v>
      </c>
      <c r="G31" s="30">
        <v>0.54160125588697017</v>
      </c>
      <c r="H31" s="30">
        <v>3.1397174254317109E-2</v>
      </c>
      <c r="I31"/>
      <c r="J31"/>
      <c r="K31"/>
      <c r="L31"/>
      <c r="M31"/>
      <c r="N31"/>
    </row>
    <row r="32" spans="1:14" x14ac:dyDescent="0.25">
      <c r="B32" s="30" t="s">
        <v>221</v>
      </c>
      <c r="D32" s="30">
        <v>690</v>
      </c>
      <c r="E32" s="30">
        <v>40</v>
      </c>
      <c r="F32" s="60">
        <v>637</v>
      </c>
      <c r="G32" s="30">
        <v>0.54160125588697017</v>
      </c>
      <c r="H32" s="30">
        <v>3.1397174254317109E-2</v>
      </c>
      <c r="I32"/>
      <c r="J32"/>
      <c r="K32"/>
      <c r="L32"/>
      <c r="M32"/>
      <c r="N32"/>
    </row>
    <row r="33" spans="1:14" x14ac:dyDescent="0.25">
      <c r="C33" s="30" t="s">
        <v>826</v>
      </c>
      <c r="D33" s="30">
        <v>560</v>
      </c>
      <c r="E33" s="30">
        <v>32.463768115942031</v>
      </c>
      <c r="F33" s="60">
        <v>637</v>
      </c>
      <c r="G33" s="30">
        <v>0.87912087912087911</v>
      </c>
      <c r="H33" s="30">
        <v>5.0963529224398792E-2</v>
      </c>
      <c r="I33"/>
      <c r="J33"/>
      <c r="K33"/>
      <c r="L33"/>
      <c r="M33"/>
      <c r="N33"/>
    </row>
    <row r="34" spans="1:14" x14ac:dyDescent="0.25">
      <c r="C34" s="30" t="s">
        <v>832</v>
      </c>
      <c r="D34" s="30">
        <v>130</v>
      </c>
      <c r="E34" s="30">
        <v>7.5362318840579707</v>
      </c>
      <c r="F34" s="60">
        <v>637</v>
      </c>
      <c r="G34" s="30">
        <v>0.20408163265306123</v>
      </c>
      <c r="H34" s="30">
        <v>1.1830819284235433E-2</v>
      </c>
      <c r="I34"/>
      <c r="J34"/>
      <c r="K34"/>
      <c r="L34"/>
      <c r="M34"/>
      <c r="N34"/>
    </row>
    <row r="35" spans="1:14" x14ac:dyDescent="0.25">
      <c r="A35" s="30" t="s">
        <v>128</v>
      </c>
      <c r="D35" s="30">
        <v>96.600000000000009</v>
      </c>
      <c r="E35" s="30">
        <v>5.6000000000000005</v>
      </c>
      <c r="F35" s="60">
        <v>33</v>
      </c>
      <c r="G35" s="30">
        <v>0.97575757575757582</v>
      </c>
      <c r="H35" s="30">
        <v>5.6565656565656569E-2</v>
      </c>
      <c r="I35"/>
      <c r="J35"/>
      <c r="K35"/>
      <c r="L35"/>
      <c r="M35"/>
      <c r="N35"/>
    </row>
    <row r="36" spans="1:14" x14ac:dyDescent="0.25">
      <c r="B36" s="30" t="s">
        <v>221</v>
      </c>
      <c r="D36" s="30">
        <v>96.600000000000009</v>
      </c>
      <c r="E36" s="30">
        <v>5.6000000000000005</v>
      </c>
      <c r="F36" s="60">
        <v>33</v>
      </c>
      <c r="G36" s="30">
        <v>0.97575757575757582</v>
      </c>
      <c r="H36" s="30">
        <v>5.6565656565656569E-2</v>
      </c>
      <c r="I36"/>
      <c r="J36"/>
      <c r="K36"/>
      <c r="L36"/>
      <c r="M36"/>
      <c r="N36"/>
    </row>
    <row r="37" spans="1:14" x14ac:dyDescent="0.25">
      <c r="C37" s="30" t="s">
        <v>826</v>
      </c>
      <c r="D37" s="30">
        <v>13.8</v>
      </c>
      <c r="E37" s="30">
        <v>0.8</v>
      </c>
      <c r="F37" s="60">
        <v>33</v>
      </c>
      <c r="G37" s="30">
        <v>0.41818181818181821</v>
      </c>
      <c r="H37" s="30">
        <v>2.4242424242424242E-2</v>
      </c>
      <c r="I37"/>
      <c r="J37"/>
      <c r="K37"/>
      <c r="L37"/>
      <c r="M37"/>
      <c r="N37"/>
    </row>
    <row r="38" spans="1:14" x14ac:dyDescent="0.25">
      <c r="C38" s="30" t="s">
        <v>833</v>
      </c>
      <c r="D38" s="30">
        <v>27.6</v>
      </c>
      <c r="E38" s="30">
        <v>1.6</v>
      </c>
      <c r="F38" s="60">
        <v>33</v>
      </c>
      <c r="G38" s="30">
        <v>0.83636363636363642</v>
      </c>
      <c r="H38" s="30">
        <v>4.8484848484848485E-2</v>
      </c>
      <c r="I38"/>
      <c r="J38"/>
      <c r="K38"/>
      <c r="L38"/>
      <c r="M38"/>
      <c r="N38"/>
    </row>
    <row r="39" spans="1:14" x14ac:dyDescent="0.25">
      <c r="C39" s="30" t="s">
        <v>834</v>
      </c>
      <c r="D39" s="30">
        <v>55.2</v>
      </c>
      <c r="E39" s="30">
        <v>3.2</v>
      </c>
      <c r="F39" s="60">
        <v>33</v>
      </c>
      <c r="G39" s="30">
        <v>1.6727272727272728</v>
      </c>
      <c r="H39" s="30">
        <v>9.696969696969697E-2</v>
      </c>
      <c r="I39"/>
      <c r="J39"/>
      <c r="K39"/>
      <c r="L39"/>
      <c r="M39"/>
      <c r="N39"/>
    </row>
    <row r="40" spans="1:14" x14ac:dyDescent="0.25">
      <c r="A40" s="30" t="s">
        <v>169</v>
      </c>
      <c r="D40" s="30">
        <v>276</v>
      </c>
      <c r="E40" s="30">
        <v>16</v>
      </c>
      <c r="F40" s="60">
        <v>79</v>
      </c>
      <c r="G40" s="30">
        <v>1.7468354430379747</v>
      </c>
      <c r="H40" s="30">
        <v>0.10126582278481013</v>
      </c>
      <c r="I40"/>
      <c r="J40"/>
      <c r="K40"/>
      <c r="L40"/>
      <c r="M40"/>
      <c r="N40"/>
    </row>
    <row r="41" spans="1:14" x14ac:dyDescent="0.25">
      <c r="B41" s="30" t="s">
        <v>221</v>
      </c>
      <c r="D41" s="30">
        <v>276</v>
      </c>
      <c r="E41" s="30">
        <v>16</v>
      </c>
      <c r="F41" s="60">
        <v>79</v>
      </c>
      <c r="G41" s="30">
        <v>1.7468354430379747</v>
      </c>
      <c r="H41" s="30">
        <v>0.10126582278481013</v>
      </c>
      <c r="I41"/>
      <c r="J41"/>
      <c r="K41"/>
      <c r="L41"/>
      <c r="M41"/>
      <c r="N41"/>
    </row>
    <row r="42" spans="1:14" x14ac:dyDescent="0.25">
      <c r="C42" s="30" t="s">
        <v>831</v>
      </c>
      <c r="D42" s="30">
        <v>248.4</v>
      </c>
      <c r="E42" s="30">
        <v>14.4</v>
      </c>
      <c r="F42" s="60">
        <v>79</v>
      </c>
      <c r="G42" s="30">
        <v>3.1443037974683543</v>
      </c>
      <c r="H42" s="30">
        <v>0.18227848101265823</v>
      </c>
      <c r="I42"/>
      <c r="J42"/>
      <c r="K42"/>
      <c r="L42"/>
      <c r="M42"/>
      <c r="N42"/>
    </row>
    <row r="43" spans="1:14" x14ac:dyDescent="0.25">
      <c r="C43" s="30" t="s">
        <v>835</v>
      </c>
      <c r="D43" s="30">
        <v>27.6</v>
      </c>
      <c r="E43" s="30">
        <v>1.6</v>
      </c>
      <c r="F43" s="60">
        <v>79</v>
      </c>
      <c r="G43" s="30">
        <v>0.34936708860759497</v>
      </c>
      <c r="H43" s="30">
        <v>2.0253164556962026E-2</v>
      </c>
      <c r="I43"/>
      <c r="J43"/>
      <c r="K43"/>
      <c r="L43"/>
      <c r="M43"/>
      <c r="N43"/>
    </row>
    <row r="44" spans="1:14" x14ac:dyDescent="0.25">
      <c r="A44" s="30" t="s">
        <v>153</v>
      </c>
      <c r="D44" s="30">
        <v>276</v>
      </c>
      <c r="E44" s="30">
        <v>16</v>
      </c>
      <c r="F44" s="60">
        <v>54</v>
      </c>
      <c r="G44" s="30">
        <v>2.5555555555555554</v>
      </c>
      <c r="H44" s="30">
        <v>0.14814814814814814</v>
      </c>
      <c r="I44"/>
      <c r="J44"/>
      <c r="K44"/>
      <c r="L44"/>
      <c r="M44"/>
      <c r="N44"/>
    </row>
    <row r="45" spans="1:14" x14ac:dyDescent="0.25">
      <c r="B45" s="30" t="s">
        <v>221</v>
      </c>
      <c r="D45" s="30">
        <v>276</v>
      </c>
      <c r="E45" s="30">
        <v>16</v>
      </c>
      <c r="F45" s="60">
        <v>54</v>
      </c>
      <c r="G45" s="30">
        <v>2.5555555555555554</v>
      </c>
      <c r="H45" s="30">
        <v>0.14814814814814814</v>
      </c>
      <c r="I45"/>
      <c r="J45"/>
      <c r="K45"/>
      <c r="L45"/>
      <c r="M45"/>
      <c r="N45"/>
    </row>
    <row r="46" spans="1:14" x14ac:dyDescent="0.25">
      <c r="C46" s="30" t="s">
        <v>836</v>
      </c>
      <c r="D46" s="30">
        <v>248.4</v>
      </c>
      <c r="E46" s="30">
        <v>14.4</v>
      </c>
      <c r="F46" s="60">
        <v>54</v>
      </c>
      <c r="G46" s="30">
        <v>4.6000000000000005</v>
      </c>
      <c r="H46" s="30">
        <v>0.26666666666666666</v>
      </c>
      <c r="I46"/>
      <c r="J46"/>
      <c r="K46"/>
      <c r="L46"/>
      <c r="M46"/>
      <c r="N46"/>
    </row>
    <row r="47" spans="1:14" x14ac:dyDescent="0.25">
      <c r="C47" s="30" t="s">
        <v>837</v>
      </c>
      <c r="D47" s="30">
        <v>27.6</v>
      </c>
      <c r="E47" s="30">
        <v>1.6</v>
      </c>
      <c r="F47" s="60">
        <v>54</v>
      </c>
      <c r="G47" s="30">
        <v>0.51111111111111118</v>
      </c>
      <c r="H47" s="30">
        <v>2.9629629629629631E-2</v>
      </c>
      <c r="I47"/>
      <c r="J47"/>
      <c r="K47"/>
      <c r="L47"/>
      <c r="M47"/>
      <c r="N47"/>
    </row>
    <row r="48" spans="1:14" x14ac:dyDescent="0.25">
      <c r="A48" s="30" t="s">
        <v>176</v>
      </c>
      <c r="D48" s="30">
        <v>276</v>
      </c>
      <c r="E48" s="30">
        <v>16</v>
      </c>
      <c r="F48" s="60">
        <v>22</v>
      </c>
      <c r="G48" s="30">
        <v>12.545454545454545</v>
      </c>
      <c r="H48" s="30">
        <v>0.72727272727272729</v>
      </c>
      <c r="I48"/>
      <c r="J48"/>
      <c r="K48"/>
      <c r="L48"/>
      <c r="M48"/>
      <c r="N48"/>
    </row>
    <row r="49" spans="1:14" x14ac:dyDescent="0.25">
      <c r="B49" s="30" t="s">
        <v>221</v>
      </c>
      <c r="D49" s="30">
        <v>276</v>
      </c>
      <c r="E49" s="30">
        <v>16</v>
      </c>
      <c r="F49" s="60">
        <v>22</v>
      </c>
      <c r="G49" s="30">
        <v>12.545454545454545</v>
      </c>
      <c r="H49" s="30">
        <v>0.72727272727272729</v>
      </c>
      <c r="I49"/>
      <c r="J49"/>
      <c r="K49"/>
      <c r="L49"/>
      <c r="M49"/>
      <c r="N49"/>
    </row>
    <row r="50" spans="1:14" x14ac:dyDescent="0.25">
      <c r="C50" s="30" t="s">
        <v>838</v>
      </c>
      <c r="D50" s="30">
        <v>276</v>
      </c>
      <c r="E50" s="30">
        <v>16</v>
      </c>
      <c r="F50" s="60">
        <v>22</v>
      </c>
      <c r="G50" s="30">
        <v>12.545454545454545</v>
      </c>
      <c r="H50" s="30">
        <v>0.72727272727272729</v>
      </c>
      <c r="I50"/>
      <c r="J50"/>
      <c r="K50"/>
      <c r="L50"/>
      <c r="M50"/>
      <c r="N50"/>
    </row>
    <row r="51" spans="1:14" x14ac:dyDescent="0.25">
      <c r="A51" s="30" t="s">
        <v>172</v>
      </c>
      <c r="D51" s="30">
        <v>276</v>
      </c>
      <c r="E51" s="30">
        <v>16</v>
      </c>
      <c r="F51" s="60">
        <v>12</v>
      </c>
      <c r="G51" s="30">
        <v>23</v>
      </c>
      <c r="H51" s="30">
        <v>1.3333333333333333</v>
      </c>
      <c r="I51"/>
      <c r="J51"/>
      <c r="K51"/>
      <c r="L51"/>
      <c r="M51"/>
      <c r="N51"/>
    </row>
    <row r="52" spans="1:14" x14ac:dyDescent="0.25">
      <c r="B52" s="30" t="s">
        <v>221</v>
      </c>
      <c r="D52" s="30">
        <v>276</v>
      </c>
      <c r="E52" s="30">
        <v>16</v>
      </c>
      <c r="F52" s="60">
        <v>12</v>
      </c>
      <c r="G52" s="30">
        <v>23</v>
      </c>
      <c r="H52" s="30">
        <v>1.3333333333333333</v>
      </c>
      <c r="I52"/>
      <c r="J52"/>
      <c r="K52"/>
      <c r="L52"/>
      <c r="M52"/>
      <c r="N52"/>
    </row>
    <row r="53" spans="1:14" x14ac:dyDescent="0.25">
      <c r="C53" s="30" t="s">
        <v>836</v>
      </c>
      <c r="D53" s="30">
        <v>276</v>
      </c>
      <c r="E53" s="30">
        <v>16</v>
      </c>
      <c r="F53" s="60">
        <v>12</v>
      </c>
      <c r="G53" s="30">
        <v>23</v>
      </c>
      <c r="H53" s="30">
        <v>1.3333333333333333</v>
      </c>
      <c r="J53"/>
      <c r="K53"/>
      <c r="L53"/>
      <c r="M53"/>
      <c r="N53"/>
    </row>
    <row r="54" spans="1:14" x14ac:dyDescent="0.25">
      <c r="A54" s="30" t="s">
        <v>174</v>
      </c>
      <c r="D54" s="30">
        <v>0</v>
      </c>
      <c r="E54" s="30">
        <v>0</v>
      </c>
      <c r="F54" s="60">
        <v>13</v>
      </c>
      <c r="G54" s="30">
        <v>0</v>
      </c>
      <c r="H54" s="30">
        <v>0</v>
      </c>
      <c r="J54"/>
      <c r="K54"/>
      <c r="L54"/>
      <c r="M54"/>
      <c r="N54"/>
    </row>
    <row r="55" spans="1:14" x14ac:dyDescent="0.25">
      <c r="B55" s="30" t="s">
        <v>221</v>
      </c>
      <c r="D55" s="30">
        <v>0</v>
      </c>
      <c r="E55" s="30">
        <v>0</v>
      </c>
      <c r="F55" s="60">
        <v>13</v>
      </c>
      <c r="G55" s="30">
        <v>0</v>
      </c>
      <c r="H55" s="30">
        <v>0</v>
      </c>
      <c r="J55"/>
      <c r="K55"/>
      <c r="L55"/>
      <c r="M55"/>
      <c r="N55"/>
    </row>
    <row r="56" spans="1:14" x14ac:dyDescent="0.25">
      <c r="C56" s="30" t="s">
        <v>837</v>
      </c>
      <c r="D56" s="30">
        <v>0</v>
      </c>
      <c r="E56" s="30">
        <v>0</v>
      </c>
      <c r="F56" s="60">
        <v>13</v>
      </c>
      <c r="G56" s="30">
        <v>0</v>
      </c>
      <c r="H56" s="30">
        <v>0</v>
      </c>
      <c r="J56"/>
      <c r="K56"/>
      <c r="L56"/>
      <c r="M56"/>
      <c r="N56"/>
    </row>
    <row r="57" spans="1:14" x14ac:dyDescent="0.25">
      <c r="A57" s="30" t="s">
        <v>47</v>
      </c>
      <c r="D57" s="30">
        <v>276</v>
      </c>
      <c r="E57" s="30">
        <v>16</v>
      </c>
      <c r="F57" s="60">
        <v>11</v>
      </c>
      <c r="G57" s="30">
        <v>12.545454545454545</v>
      </c>
      <c r="H57" s="30">
        <v>0.72727272727272729</v>
      </c>
      <c r="J57"/>
      <c r="K57"/>
      <c r="L57"/>
      <c r="M57"/>
      <c r="N57"/>
    </row>
    <row r="58" spans="1:14" x14ac:dyDescent="0.25">
      <c r="B58" s="30" t="s">
        <v>221</v>
      </c>
      <c r="D58" s="30">
        <v>276</v>
      </c>
      <c r="E58" s="30">
        <v>16</v>
      </c>
      <c r="F58" s="60">
        <v>11</v>
      </c>
      <c r="G58" s="30">
        <v>12.545454545454545</v>
      </c>
      <c r="H58" s="30">
        <v>0.72727272727272729</v>
      </c>
      <c r="J58"/>
      <c r="K58"/>
      <c r="L58"/>
      <c r="M58"/>
      <c r="N58"/>
    </row>
    <row r="59" spans="1:14" x14ac:dyDescent="0.25">
      <c r="C59" s="30" t="s">
        <v>834</v>
      </c>
      <c r="D59" s="30">
        <v>152</v>
      </c>
      <c r="E59" s="30">
        <v>8.8115942028985508</v>
      </c>
      <c r="F59" s="60">
        <v>11</v>
      </c>
      <c r="G59" s="30">
        <v>13.818181818181818</v>
      </c>
      <c r="H59" s="30">
        <v>0.80105401844532276</v>
      </c>
    </row>
    <row r="60" spans="1:14" x14ac:dyDescent="0.25">
      <c r="C60" s="30" t="s">
        <v>839</v>
      </c>
      <c r="D60" s="30">
        <v>124</v>
      </c>
      <c r="E60" s="30">
        <v>7.1884057971014492</v>
      </c>
      <c r="F60" s="60">
        <v>11</v>
      </c>
      <c r="G60" s="30">
        <v>11.272727272727273</v>
      </c>
      <c r="H60" s="30">
        <v>0.65349143610013172</v>
      </c>
    </row>
    <row r="61" spans="1:14" x14ac:dyDescent="0.25">
      <c r="A61" s="30" t="s">
        <v>170</v>
      </c>
      <c r="D61" s="30">
        <v>276</v>
      </c>
      <c r="E61" s="30">
        <v>16</v>
      </c>
      <c r="F61" s="60">
        <v>13</v>
      </c>
      <c r="G61" s="30">
        <v>21.23076923076923</v>
      </c>
      <c r="H61" s="30">
        <v>1.2307692307692308</v>
      </c>
    </row>
    <row r="62" spans="1:14" x14ac:dyDescent="0.25">
      <c r="B62" s="30" t="s">
        <v>221</v>
      </c>
      <c r="D62" s="30">
        <v>276</v>
      </c>
      <c r="E62" s="30">
        <v>16</v>
      </c>
      <c r="F62" s="60">
        <v>13</v>
      </c>
      <c r="G62" s="30">
        <v>21.23076923076923</v>
      </c>
      <c r="H62" s="30">
        <v>1.2307692307692308</v>
      </c>
    </row>
    <row r="63" spans="1:14" x14ac:dyDescent="0.25">
      <c r="C63" s="30" t="s">
        <v>833</v>
      </c>
      <c r="D63" s="30">
        <v>276</v>
      </c>
      <c r="E63" s="30">
        <v>16</v>
      </c>
      <c r="F63" s="60">
        <v>13</v>
      </c>
      <c r="G63" s="30">
        <v>21.23076923076923</v>
      </c>
      <c r="H63" s="30">
        <v>1.2307692307692308</v>
      </c>
    </row>
    <row r="64" spans="1:14" x14ac:dyDescent="0.25">
      <c r="A64" s="30" t="s">
        <v>31</v>
      </c>
      <c r="D64" s="30">
        <v>21.5</v>
      </c>
      <c r="E64" s="30">
        <v>1.2463768115942029</v>
      </c>
      <c r="F64" s="60">
        <v>47</v>
      </c>
      <c r="G64" s="30">
        <v>0.45744680851063829</v>
      </c>
      <c r="H64" s="30">
        <v>2.6518655565834104E-2</v>
      </c>
    </row>
    <row r="65" spans="1:8" x14ac:dyDescent="0.25">
      <c r="B65" s="30" t="s">
        <v>221</v>
      </c>
      <c r="D65" s="30">
        <v>21.5</v>
      </c>
      <c r="E65" s="30">
        <v>1.2463768115942029</v>
      </c>
      <c r="F65" s="60">
        <v>47</v>
      </c>
      <c r="G65" s="30">
        <v>0.45744680851063829</v>
      </c>
      <c r="H65" s="30">
        <v>2.6518655565834104E-2</v>
      </c>
    </row>
    <row r="66" spans="1:8" x14ac:dyDescent="0.25">
      <c r="C66" s="30" t="s">
        <v>824</v>
      </c>
      <c r="D66" s="30">
        <v>21.5</v>
      </c>
      <c r="E66" s="30">
        <v>1.2463768115942029</v>
      </c>
      <c r="F66" s="60">
        <v>47</v>
      </c>
      <c r="G66" s="30">
        <v>0.45744680851063829</v>
      </c>
      <c r="H66" s="30">
        <v>2.6518655565834104E-2</v>
      </c>
    </row>
    <row r="67" spans="1:8" x14ac:dyDescent="0.25">
      <c r="A67" s="30" t="s">
        <v>32</v>
      </c>
      <c r="D67" s="30">
        <v>129</v>
      </c>
      <c r="E67" s="30">
        <v>7.4782608695652169</v>
      </c>
      <c r="F67" s="60">
        <v>45</v>
      </c>
      <c r="G67" s="30">
        <v>0.9555555555555556</v>
      </c>
      <c r="H67" s="30">
        <v>5.5394524959742349E-2</v>
      </c>
    </row>
    <row r="68" spans="1:8" x14ac:dyDescent="0.25">
      <c r="B68" s="30" t="s">
        <v>221</v>
      </c>
      <c r="D68" s="30">
        <v>129</v>
      </c>
      <c r="E68" s="30">
        <v>7.4782608695652169</v>
      </c>
      <c r="F68" s="60">
        <v>45</v>
      </c>
      <c r="G68" s="30">
        <v>0.9555555555555556</v>
      </c>
      <c r="H68" s="30">
        <v>5.5394524959742349E-2</v>
      </c>
    </row>
    <row r="69" spans="1:8" x14ac:dyDescent="0.25">
      <c r="C69" s="30" t="s">
        <v>824</v>
      </c>
      <c r="D69" s="30">
        <v>64.5</v>
      </c>
      <c r="E69" s="30">
        <v>3.7391304347826089</v>
      </c>
      <c r="F69" s="60">
        <v>45</v>
      </c>
      <c r="G69" s="30">
        <v>1.4333333333333333</v>
      </c>
      <c r="H69" s="30">
        <v>8.3091787439613526E-2</v>
      </c>
    </row>
    <row r="70" spans="1:8" x14ac:dyDescent="0.25">
      <c r="C70" s="30" t="s">
        <v>825</v>
      </c>
      <c r="D70" s="30">
        <v>10.75</v>
      </c>
      <c r="E70" s="30">
        <v>0.62318840579710144</v>
      </c>
      <c r="F70" s="60">
        <v>45</v>
      </c>
      <c r="G70" s="30">
        <v>0.2388888888888889</v>
      </c>
      <c r="H70" s="30">
        <v>1.3848631239935587E-2</v>
      </c>
    </row>
    <row r="71" spans="1:8" x14ac:dyDescent="0.25">
      <c r="C71" s="30" t="s">
        <v>827</v>
      </c>
      <c r="D71" s="30">
        <v>53.75</v>
      </c>
      <c r="E71" s="30">
        <v>3.1159420289855073</v>
      </c>
      <c r="F71" s="60">
        <v>45</v>
      </c>
      <c r="G71" s="30">
        <v>1.1944444444444444</v>
      </c>
      <c r="H71" s="30">
        <v>6.9243156199677941E-2</v>
      </c>
    </row>
    <row r="72" spans="1:8" x14ac:dyDescent="0.25">
      <c r="A72" s="30" t="s">
        <v>105</v>
      </c>
      <c r="D72" s="30">
        <v>75.25</v>
      </c>
      <c r="E72" s="30">
        <v>4.36231884057971</v>
      </c>
      <c r="F72" s="60">
        <v>14</v>
      </c>
      <c r="G72" s="30">
        <v>1.7916666666666667</v>
      </c>
      <c r="H72" s="30">
        <v>0.1038647342995169</v>
      </c>
    </row>
    <row r="73" spans="1:8" x14ac:dyDescent="0.25">
      <c r="B73" s="30" t="s">
        <v>221</v>
      </c>
      <c r="D73" s="30">
        <v>75.25</v>
      </c>
      <c r="E73" s="30">
        <v>4.36231884057971</v>
      </c>
      <c r="F73" s="60">
        <v>14</v>
      </c>
      <c r="G73" s="30">
        <v>1.7916666666666667</v>
      </c>
      <c r="H73" s="30">
        <v>0.1038647342995169</v>
      </c>
    </row>
    <row r="74" spans="1:8" x14ac:dyDescent="0.25">
      <c r="C74" s="30" t="s">
        <v>826</v>
      </c>
      <c r="D74" s="30">
        <v>10.75</v>
      </c>
      <c r="E74" s="30">
        <v>0.62318840579710144</v>
      </c>
      <c r="F74" s="60">
        <v>14</v>
      </c>
      <c r="G74" s="30">
        <v>0.7678571428571429</v>
      </c>
      <c r="H74" s="30">
        <v>4.4513457556935816E-2</v>
      </c>
    </row>
    <row r="75" spans="1:8" x14ac:dyDescent="0.25">
      <c r="C75" s="30" t="s">
        <v>832</v>
      </c>
      <c r="D75" s="30">
        <v>43</v>
      </c>
      <c r="E75" s="30">
        <v>2.4927536231884058</v>
      </c>
      <c r="F75" s="60">
        <v>14</v>
      </c>
      <c r="G75" s="30">
        <v>3.0714285714285716</v>
      </c>
      <c r="H75" s="30">
        <v>0.17805383022774326</v>
      </c>
    </row>
    <row r="76" spans="1:8" x14ac:dyDescent="0.25">
      <c r="C76" s="30" t="s">
        <v>834</v>
      </c>
      <c r="D76" s="30">
        <v>21.5</v>
      </c>
      <c r="E76" s="30">
        <v>1.2463768115942029</v>
      </c>
      <c r="F76" s="60">
        <v>14</v>
      </c>
      <c r="G76" s="30">
        <v>1.5357142857142858</v>
      </c>
      <c r="H76" s="30">
        <v>8.9026915113871632E-2</v>
      </c>
    </row>
    <row r="77" spans="1:8" x14ac:dyDescent="0.25">
      <c r="A77" s="30" t="s">
        <v>40</v>
      </c>
      <c r="D77" s="30">
        <v>32.25</v>
      </c>
      <c r="E77" s="30">
        <v>1.8695652173913042</v>
      </c>
      <c r="F77" s="60">
        <v>15</v>
      </c>
      <c r="G77" s="30">
        <v>1.075</v>
      </c>
      <c r="H77" s="30">
        <v>6.2318840579710141E-2</v>
      </c>
    </row>
    <row r="78" spans="1:8" x14ac:dyDescent="0.25">
      <c r="B78" s="30" t="s">
        <v>221</v>
      </c>
      <c r="D78" s="30">
        <v>32.25</v>
      </c>
      <c r="E78" s="30">
        <v>1.8695652173913042</v>
      </c>
      <c r="F78" s="60">
        <v>15</v>
      </c>
      <c r="G78" s="30">
        <v>1.075</v>
      </c>
      <c r="H78" s="30">
        <v>6.2318840579710141E-2</v>
      </c>
    </row>
    <row r="79" spans="1:8" x14ac:dyDescent="0.25">
      <c r="C79" s="30" t="s">
        <v>827</v>
      </c>
      <c r="D79" s="30">
        <v>21.5</v>
      </c>
      <c r="E79" s="30">
        <v>1.2463768115942029</v>
      </c>
      <c r="F79" s="60">
        <v>15</v>
      </c>
      <c r="G79" s="30">
        <v>1.4333333333333333</v>
      </c>
      <c r="H79" s="30">
        <v>8.3091787439613526E-2</v>
      </c>
    </row>
    <row r="80" spans="1:8" x14ac:dyDescent="0.25">
      <c r="C80" s="30" t="s">
        <v>826</v>
      </c>
      <c r="D80" s="30">
        <v>10.75</v>
      </c>
      <c r="E80" s="30">
        <v>0.62318840579710144</v>
      </c>
      <c r="F80" s="60">
        <v>15</v>
      </c>
      <c r="G80" s="30">
        <v>0.71666666666666667</v>
      </c>
      <c r="H80" s="30">
        <v>4.1545893719806763E-2</v>
      </c>
    </row>
    <row r="81" spans="1:8" x14ac:dyDescent="0.25">
      <c r="A81" s="30" t="s">
        <v>77</v>
      </c>
      <c r="D81" s="30">
        <v>5043.6000000000004</v>
      </c>
      <c r="E81" s="30">
        <v>292.38260869565215</v>
      </c>
      <c r="F81" s="60">
        <v>273.44117647058823</v>
      </c>
      <c r="G81" s="30">
        <v>0.54249757986447245</v>
      </c>
      <c r="H81" s="30">
        <v>3.1449135064607094E-2</v>
      </c>
    </row>
    <row r="82" spans="1:8" x14ac:dyDescent="0.25">
      <c r="A82"/>
      <c r="B82"/>
      <c r="C82"/>
      <c r="D82"/>
      <c r="E82"/>
      <c r="F82"/>
      <c r="G82"/>
      <c r="H82"/>
    </row>
    <row r="83" spans="1:8" x14ac:dyDescent="0.25">
      <c r="A83"/>
      <c r="B83"/>
      <c r="C83"/>
      <c r="D83"/>
      <c r="E83"/>
      <c r="F83"/>
      <c r="G83"/>
      <c r="H83"/>
    </row>
    <row r="84" spans="1:8" x14ac:dyDescent="0.25">
      <c r="A84"/>
      <c r="B84"/>
      <c r="C84"/>
      <c r="D84"/>
      <c r="E84"/>
      <c r="F84"/>
      <c r="G84"/>
      <c r="H84"/>
    </row>
    <row r="85" spans="1:8" x14ac:dyDescent="0.25">
      <c r="A85"/>
      <c r="B85"/>
      <c r="C85"/>
      <c r="D85"/>
      <c r="E85"/>
      <c r="F85"/>
      <c r="G85"/>
      <c r="H85"/>
    </row>
    <row r="86" spans="1:8" x14ac:dyDescent="0.25">
      <c r="A86"/>
      <c r="B86"/>
      <c r="C86"/>
      <c r="D86"/>
      <c r="E86"/>
      <c r="F86"/>
      <c r="G86"/>
      <c r="H86"/>
    </row>
    <row r="87" spans="1:8" x14ac:dyDescent="0.25">
      <c r="A87"/>
      <c r="B87"/>
      <c r="C87"/>
      <c r="D87"/>
      <c r="E87"/>
      <c r="F87"/>
      <c r="G87"/>
      <c r="H87"/>
    </row>
    <row r="88" spans="1:8" x14ac:dyDescent="0.25">
      <c r="A88"/>
      <c r="B88"/>
      <c r="C88"/>
      <c r="D88"/>
      <c r="E88"/>
      <c r="F88"/>
      <c r="G88"/>
      <c r="H88"/>
    </row>
    <row r="89" spans="1:8" x14ac:dyDescent="0.25">
      <c r="A89"/>
      <c r="B89"/>
      <c r="C89"/>
      <c r="D89"/>
      <c r="E89"/>
      <c r="F89"/>
      <c r="G89"/>
      <c r="H89"/>
    </row>
    <row r="90" spans="1:8" x14ac:dyDescent="0.25">
      <c r="A90"/>
      <c r="B90"/>
      <c r="C90"/>
      <c r="D90"/>
      <c r="E90"/>
      <c r="F90"/>
      <c r="G90"/>
      <c r="H90"/>
    </row>
    <row r="91" spans="1:8" x14ac:dyDescent="0.25">
      <c r="A91"/>
      <c r="B91"/>
      <c r="C91"/>
      <c r="D91"/>
      <c r="E91"/>
      <c r="F91"/>
      <c r="G91"/>
      <c r="H91"/>
    </row>
    <row r="92" spans="1:8" x14ac:dyDescent="0.25">
      <c r="A92"/>
      <c r="B92"/>
      <c r="C92"/>
      <c r="D92"/>
      <c r="E92"/>
      <c r="F92"/>
      <c r="G92"/>
      <c r="H92"/>
    </row>
    <row r="93" spans="1:8" x14ac:dyDescent="0.25">
      <c r="A93"/>
      <c r="B93"/>
      <c r="C93"/>
      <c r="D93"/>
      <c r="E93"/>
      <c r="F93"/>
      <c r="G93"/>
      <c r="H93"/>
    </row>
    <row r="94" spans="1:8" x14ac:dyDescent="0.25">
      <c r="A94"/>
      <c r="B94"/>
      <c r="C94"/>
      <c r="D94"/>
      <c r="E94"/>
      <c r="F94"/>
      <c r="G94"/>
      <c r="H94"/>
    </row>
    <row r="95" spans="1:8" x14ac:dyDescent="0.25">
      <c r="A95"/>
      <c r="B95"/>
      <c r="C95"/>
      <c r="D95"/>
      <c r="E95"/>
      <c r="F95"/>
      <c r="G95"/>
      <c r="H95"/>
    </row>
    <row r="96" spans="1:8" x14ac:dyDescent="0.25">
      <c r="A96"/>
      <c r="B96"/>
      <c r="C96"/>
      <c r="D96"/>
      <c r="E96"/>
      <c r="F96"/>
      <c r="G96"/>
      <c r="H96"/>
    </row>
    <row r="97" spans="1:8" x14ac:dyDescent="0.25">
      <c r="A97"/>
      <c r="B97"/>
      <c r="C97"/>
      <c r="D97"/>
      <c r="E97"/>
      <c r="F97"/>
      <c r="G97"/>
      <c r="H97"/>
    </row>
    <row r="98" spans="1:8" x14ac:dyDescent="0.25">
      <c r="A98"/>
      <c r="B98"/>
      <c r="C98"/>
      <c r="D98"/>
      <c r="E98"/>
      <c r="F98"/>
      <c r="G98"/>
      <c r="H98"/>
    </row>
    <row r="99" spans="1:8" x14ac:dyDescent="0.25">
      <c r="A99"/>
      <c r="B99"/>
      <c r="C99"/>
      <c r="D99"/>
      <c r="E99"/>
      <c r="F99"/>
      <c r="G99"/>
      <c r="H99"/>
    </row>
    <row r="100" spans="1:8" x14ac:dyDescent="0.25">
      <c r="A100"/>
      <c r="B100"/>
      <c r="C100"/>
      <c r="D100"/>
      <c r="E100"/>
      <c r="F100"/>
      <c r="G100"/>
      <c r="H100"/>
    </row>
    <row r="101" spans="1:8" x14ac:dyDescent="0.25">
      <c r="A101"/>
      <c r="B101"/>
      <c r="C101"/>
      <c r="D101"/>
      <c r="E101"/>
      <c r="F101"/>
      <c r="G101"/>
      <c r="H101"/>
    </row>
    <row r="102" spans="1:8" x14ac:dyDescent="0.25">
      <c r="A102"/>
      <c r="B102"/>
      <c r="C102"/>
      <c r="D102"/>
      <c r="E102"/>
      <c r="F102"/>
      <c r="G102"/>
      <c r="H102"/>
    </row>
    <row r="103" spans="1:8" x14ac:dyDescent="0.25">
      <c r="A103"/>
      <c r="B103"/>
      <c r="C103"/>
      <c r="D103"/>
      <c r="E103"/>
      <c r="F103"/>
      <c r="G103"/>
      <c r="H103"/>
    </row>
    <row r="104" spans="1:8" x14ac:dyDescent="0.25">
      <c r="A104"/>
      <c r="B104"/>
      <c r="C104"/>
      <c r="D104"/>
      <c r="E104"/>
      <c r="F104"/>
      <c r="G104"/>
      <c r="H104"/>
    </row>
    <row r="105" spans="1:8" x14ac:dyDescent="0.25">
      <c r="A105"/>
      <c r="B105"/>
      <c r="C105"/>
      <c r="D105"/>
      <c r="E105"/>
      <c r="F105"/>
      <c r="G105"/>
      <c r="H105"/>
    </row>
    <row r="106" spans="1:8" x14ac:dyDescent="0.25">
      <c r="A106"/>
      <c r="B106"/>
      <c r="C106"/>
      <c r="D106"/>
      <c r="E106"/>
      <c r="F106"/>
      <c r="G106"/>
      <c r="H106"/>
    </row>
    <row r="107" spans="1:8" x14ac:dyDescent="0.25">
      <c r="A107"/>
      <c r="B107"/>
      <c r="C107"/>
      <c r="D107"/>
      <c r="E107"/>
      <c r="F107"/>
      <c r="G107"/>
      <c r="H107"/>
    </row>
    <row r="108" spans="1:8" x14ac:dyDescent="0.25">
      <c r="A108"/>
      <c r="B108"/>
      <c r="C108"/>
      <c r="D108"/>
      <c r="E108"/>
      <c r="F108"/>
      <c r="G108"/>
      <c r="H108"/>
    </row>
    <row r="109" spans="1:8" x14ac:dyDescent="0.25">
      <c r="A109"/>
      <c r="B109"/>
      <c r="C109"/>
      <c r="D109"/>
      <c r="E109"/>
      <c r="F109"/>
      <c r="G109"/>
      <c r="H109"/>
    </row>
    <row r="110" spans="1:8" x14ac:dyDescent="0.25">
      <c r="A110"/>
      <c r="B110"/>
      <c r="C110"/>
      <c r="D110"/>
      <c r="E110"/>
      <c r="F110"/>
      <c r="G110"/>
      <c r="H110"/>
    </row>
    <row r="111" spans="1:8" x14ac:dyDescent="0.25">
      <c r="A111"/>
      <c r="B111"/>
      <c r="C111"/>
      <c r="D111"/>
      <c r="E111"/>
      <c r="F111"/>
      <c r="G111"/>
      <c r="H111"/>
    </row>
    <row r="112" spans="1:8" x14ac:dyDescent="0.25">
      <c r="A112"/>
      <c r="B112"/>
      <c r="C112"/>
      <c r="D112"/>
      <c r="E112"/>
      <c r="F112"/>
      <c r="G112"/>
      <c r="H112"/>
    </row>
    <row r="113" spans="1:8" x14ac:dyDescent="0.25">
      <c r="A113"/>
      <c r="B113"/>
      <c r="C113"/>
      <c r="D113"/>
      <c r="E113"/>
      <c r="F113"/>
      <c r="G113"/>
      <c r="H113"/>
    </row>
    <row r="114" spans="1:8" x14ac:dyDescent="0.25">
      <c r="A114"/>
      <c r="B114"/>
      <c r="C114"/>
      <c r="D114"/>
      <c r="E114"/>
      <c r="F114"/>
      <c r="G114"/>
      <c r="H114"/>
    </row>
    <row r="115" spans="1:8" x14ac:dyDescent="0.25">
      <c r="A115"/>
      <c r="B115"/>
      <c r="C115"/>
      <c r="D115"/>
      <c r="E115"/>
      <c r="F115"/>
      <c r="G115"/>
      <c r="H115"/>
    </row>
    <row r="116" spans="1:8" x14ac:dyDescent="0.25">
      <c r="A116"/>
      <c r="B116"/>
      <c r="C116"/>
      <c r="D116"/>
      <c r="E116"/>
      <c r="F116"/>
      <c r="G116"/>
      <c r="H116"/>
    </row>
    <row r="117" spans="1:8" x14ac:dyDescent="0.25">
      <c r="A117"/>
      <c r="B117"/>
      <c r="C117"/>
      <c r="D117"/>
      <c r="E117"/>
      <c r="F117"/>
      <c r="G117"/>
      <c r="H117"/>
    </row>
    <row r="118" spans="1:8" x14ac:dyDescent="0.25">
      <c r="A118"/>
      <c r="B118"/>
      <c r="C118"/>
      <c r="D118"/>
      <c r="E118"/>
      <c r="F118"/>
      <c r="G118"/>
      <c r="H118"/>
    </row>
    <row r="119" spans="1:8" x14ac:dyDescent="0.25">
      <c r="A119"/>
      <c r="B119"/>
      <c r="C119"/>
      <c r="D119"/>
      <c r="E119"/>
      <c r="F119"/>
      <c r="G119"/>
      <c r="H119"/>
    </row>
    <row r="120" spans="1:8" x14ac:dyDescent="0.25">
      <c r="A120"/>
      <c r="B120"/>
      <c r="C120"/>
      <c r="D120"/>
      <c r="E120"/>
      <c r="F120"/>
      <c r="G120"/>
      <c r="H120"/>
    </row>
    <row r="121" spans="1:8" x14ac:dyDescent="0.25">
      <c r="A121"/>
      <c r="B121"/>
      <c r="C121"/>
      <c r="D121"/>
      <c r="E121"/>
      <c r="F121"/>
      <c r="G121"/>
      <c r="H121"/>
    </row>
    <row r="122" spans="1:8" x14ac:dyDescent="0.25">
      <c r="A122"/>
      <c r="B122"/>
      <c r="C122"/>
      <c r="D122"/>
      <c r="E122"/>
      <c r="F122"/>
      <c r="G122"/>
      <c r="H122"/>
    </row>
    <row r="123" spans="1:8" x14ac:dyDescent="0.25">
      <c r="A123"/>
      <c r="B123"/>
      <c r="C123"/>
      <c r="D123"/>
      <c r="E123"/>
      <c r="F123"/>
      <c r="G123"/>
      <c r="H123"/>
    </row>
    <row r="124" spans="1:8" x14ac:dyDescent="0.25">
      <c r="A124"/>
      <c r="B124"/>
      <c r="C124"/>
      <c r="D124"/>
      <c r="E124"/>
      <c r="F124"/>
      <c r="G124"/>
      <c r="H124"/>
    </row>
    <row r="125" spans="1:8" x14ac:dyDescent="0.25">
      <c r="A125"/>
      <c r="B125"/>
      <c r="C125"/>
      <c r="D125"/>
      <c r="E125"/>
      <c r="F125"/>
      <c r="G125"/>
      <c r="H125"/>
    </row>
    <row r="126" spans="1:8" x14ac:dyDescent="0.25">
      <c r="A126"/>
      <c r="B126"/>
      <c r="C126"/>
      <c r="D126"/>
      <c r="E126"/>
      <c r="F126"/>
      <c r="G126"/>
      <c r="H126"/>
    </row>
    <row r="127" spans="1:8" x14ac:dyDescent="0.25">
      <c r="A127"/>
      <c r="B127"/>
      <c r="C127"/>
      <c r="D127"/>
      <c r="E127"/>
      <c r="F127"/>
      <c r="G127"/>
      <c r="H127"/>
    </row>
    <row r="128" spans="1:8" x14ac:dyDescent="0.25">
      <c r="A128"/>
      <c r="B128"/>
      <c r="C128"/>
      <c r="D128"/>
      <c r="E128"/>
      <c r="F128"/>
      <c r="G128"/>
      <c r="H128"/>
    </row>
    <row r="129" spans="1:8" x14ac:dyDescent="0.25">
      <c r="A129"/>
      <c r="B129"/>
      <c r="C129"/>
      <c r="D129"/>
      <c r="E129"/>
      <c r="F129"/>
      <c r="G129"/>
      <c r="H129"/>
    </row>
    <row r="130" spans="1:8" x14ac:dyDescent="0.25">
      <c r="A130"/>
      <c r="B130"/>
      <c r="C130"/>
      <c r="D130"/>
      <c r="E130"/>
      <c r="F130"/>
      <c r="G130"/>
      <c r="H130"/>
    </row>
    <row r="131" spans="1:8" x14ac:dyDescent="0.25">
      <c r="A131"/>
      <c r="B131"/>
      <c r="C131"/>
      <c r="D131"/>
      <c r="E131"/>
      <c r="F131"/>
      <c r="G131"/>
      <c r="H131"/>
    </row>
    <row r="132" spans="1:8" x14ac:dyDescent="0.25">
      <c r="A132"/>
      <c r="B132"/>
      <c r="C132"/>
      <c r="D132"/>
      <c r="E132"/>
      <c r="F132"/>
      <c r="G132"/>
      <c r="H132"/>
    </row>
    <row r="133" spans="1:8" x14ac:dyDescent="0.25">
      <c r="A133"/>
      <c r="B133"/>
      <c r="C133"/>
      <c r="D133"/>
      <c r="E133"/>
      <c r="F133"/>
      <c r="G133"/>
      <c r="H133"/>
    </row>
    <row r="134" spans="1:8" x14ac:dyDescent="0.25">
      <c r="A134"/>
      <c r="B134"/>
      <c r="C134"/>
      <c r="D134"/>
      <c r="E134"/>
      <c r="F134"/>
      <c r="G134"/>
      <c r="H134"/>
    </row>
    <row r="135" spans="1:8" x14ac:dyDescent="0.25">
      <c r="A135"/>
      <c r="B135"/>
      <c r="C135"/>
      <c r="D135"/>
      <c r="E135"/>
      <c r="F135"/>
      <c r="G135"/>
      <c r="H135"/>
    </row>
    <row r="136" spans="1:8" x14ac:dyDescent="0.25">
      <c r="A136"/>
      <c r="B136"/>
      <c r="C136"/>
      <c r="D136"/>
      <c r="E136"/>
      <c r="F136"/>
      <c r="G136"/>
      <c r="H136"/>
    </row>
    <row r="137" spans="1:8" x14ac:dyDescent="0.25">
      <c r="A137"/>
      <c r="B137"/>
      <c r="C137"/>
      <c r="D137"/>
      <c r="E137"/>
      <c r="F137"/>
      <c r="G137"/>
      <c r="H137"/>
    </row>
    <row r="138" spans="1:8" x14ac:dyDescent="0.25">
      <c r="A138"/>
      <c r="B138"/>
      <c r="C138"/>
      <c r="D138"/>
      <c r="E138"/>
      <c r="F138"/>
      <c r="G138"/>
      <c r="H138"/>
    </row>
    <row r="139" spans="1:8" x14ac:dyDescent="0.25">
      <c r="A139"/>
      <c r="B139"/>
      <c r="C139"/>
      <c r="D139"/>
      <c r="E139"/>
      <c r="F139"/>
      <c r="G139"/>
      <c r="H139"/>
    </row>
    <row r="140" spans="1:8" x14ac:dyDescent="0.25">
      <c r="A140"/>
      <c r="B140"/>
      <c r="C140"/>
      <c r="D140"/>
      <c r="E140"/>
      <c r="F140"/>
      <c r="G140"/>
      <c r="H140"/>
    </row>
    <row r="141" spans="1:8" x14ac:dyDescent="0.25">
      <c r="A141"/>
      <c r="B141"/>
      <c r="C141"/>
      <c r="D141"/>
      <c r="E141"/>
      <c r="F141"/>
      <c r="G141"/>
      <c r="H141"/>
    </row>
    <row r="142" spans="1:8" x14ac:dyDescent="0.25">
      <c r="A142"/>
      <c r="B142"/>
      <c r="C142"/>
      <c r="D142"/>
      <c r="E142"/>
      <c r="F142"/>
      <c r="G142"/>
      <c r="H142"/>
    </row>
    <row r="143" spans="1:8" x14ac:dyDescent="0.25">
      <c r="A143"/>
      <c r="B143"/>
      <c r="C143"/>
      <c r="D143"/>
      <c r="E143"/>
      <c r="F143"/>
      <c r="G143"/>
      <c r="H143"/>
    </row>
    <row r="144" spans="1:8" x14ac:dyDescent="0.25">
      <c r="A144"/>
      <c r="B144"/>
      <c r="C144"/>
      <c r="D144"/>
      <c r="E144"/>
      <c r="F144"/>
      <c r="G144"/>
      <c r="H144"/>
    </row>
    <row r="145" spans="1:8" x14ac:dyDescent="0.25">
      <c r="A145"/>
      <c r="B145"/>
      <c r="C145"/>
      <c r="D145"/>
      <c r="E145"/>
      <c r="F145"/>
      <c r="G145"/>
      <c r="H145"/>
    </row>
    <row r="146" spans="1:8" x14ac:dyDescent="0.25">
      <c r="A146"/>
      <c r="B146"/>
      <c r="C146"/>
      <c r="D146"/>
      <c r="E146"/>
      <c r="F146"/>
      <c r="G146"/>
      <c r="H146"/>
    </row>
    <row r="147" spans="1:8" x14ac:dyDescent="0.25">
      <c r="A147"/>
      <c r="B147"/>
      <c r="C147"/>
      <c r="D147"/>
      <c r="E147"/>
      <c r="F147"/>
      <c r="G147"/>
      <c r="H147"/>
    </row>
    <row r="148" spans="1:8" x14ac:dyDescent="0.25">
      <c r="A148"/>
      <c r="B148"/>
      <c r="C148"/>
      <c r="D148"/>
      <c r="E148"/>
      <c r="F148"/>
      <c r="G148"/>
      <c r="H148"/>
    </row>
    <row r="149" spans="1:8" x14ac:dyDescent="0.25">
      <c r="A149"/>
      <c r="B149"/>
      <c r="C149"/>
      <c r="D149"/>
      <c r="E149"/>
      <c r="F149"/>
      <c r="G149"/>
      <c r="H149"/>
    </row>
    <row r="150" spans="1:8" x14ac:dyDescent="0.25">
      <c r="A150"/>
      <c r="B150"/>
      <c r="C150"/>
      <c r="D150"/>
      <c r="E150"/>
      <c r="F150"/>
      <c r="G150"/>
      <c r="H150"/>
    </row>
    <row r="151" spans="1:8" x14ac:dyDescent="0.25">
      <c r="A151"/>
      <c r="B151"/>
      <c r="C151"/>
      <c r="D151"/>
      <c r="E151"/>
      <c r="F151"/>
      <c r="G151"/>
      <c r="H151"/>
    </row>
    <row r="152" spans="1:8" x14ac:dyDescent="0.25">
      <c r="A152"/>
      <c r="B152"/>
      <c r="C152"/>
      <c r="D152"/>
      <c r="E152"/>
      <c r="F152"/>
      <c r="G152"/>
      <c r="H152"/>
    </row>
    <row r="153" spans="1:8" x14ac:dyDescent="0.25">
      <c r="A153"/>
      <c r="B153"/>
      <c r="C153"/>
      <c r="D153"/>
      <c r="E153"/>
      <c r="F153"/>
      <c r="G153"/>
      <c r="H153"/>
    </row>
    <row r="154" spans="1:8" x14ac:dyDescent="0.25">
      <c r="A154"/>
      <c r="B154"/>
      <c r="C154"/>
      <c r="D154"/>
      <c r="E154"/>
      <c r="F154"/>
      <c r="G154"/>
      <c r="H154"/>
    </row>
    <row r="155" spans="1:8" x14ac:dyDescent="0.25">
      <c r="A155"/>
      <c r="B155"/>
      <c r="C155"/>
      <c r="D155"/>
      <c r="E155"/>
      <c r="F155"/>
      <c r="G155"/>
      <c r="H155"/>
    </row>
    <row r="156" spans="1:8" x14ac:dyDescent="0.25">
      <c r="A156"/>
      <c r="B156"/>
      <c r="C156"/>
      <c r="D156"/>
      <c r="E156"/>
      <c r="F156"/>
      <c r="G156"/>
      <c r="H156"/>
    </row>
    <row r="157" spans="1:8" x14ac:dyDescent="0.25">
      <c r="A157"/>
      <c r="B157"/>
      <c r="C157"/>
      <c r="D157"/>
      <c r="E157"/>
      <c r="F157"/>
      <c r="G157"/>
      <c r="H157"/>
    </row>
    <row r="158" spans="1:8" x14ac:dyDescent="0.25">
      <c r="A158"/>
      <c r="B158"/>
      <c r="C158"/>
      <c r="D158"/>
      <c r="E158"/>
      <c r="F158"/>
      <c r="G158"/>
      <c r="H158"/>
    </row>
    <row r="159" spans="1:8" x14ac:dyDescent="0.25">
      <c r="A159"/>
      <c r="B159"/>
      <c r="C159"/>
      <c r="D159"/>
      <c r="E159"/>
      <c r="F159"/>
      <c r="G159"/>
      <c r="H159"/>
    </row>
    <row r="160" spans="1:8" x14ac:dyDescent="0.25">
      <c r="A160"/>
      <c r="B160"/>
      <c r="C160"/>
      <c r="D160"/>
      <c r="E160"/>
      <c r="F160"/>
      <c r="G160"/>
      <c r="H160"/>
    </row>
    <row r="161" spans="1:8" x14ac:dyDescent="0.25">
      <c r="A161"/>
      <c r="B161"/>
      <c r="C161"/>
      <c r="D161"/>
      <c r="E161"/>
      <c r="F161"/>
      <c r="G161"/>
      <c r="H161"/>
    </row>
    <row r="162" spans="1:8" x14ac:dyDescent="0.25">
      <c r="A162"/>
      <c r="B162"/>
      <c r="C162"/>
      <c r="D162"/>
      <c r="E162"/>
      <c r="F162"/>
      <c r="G162"/>
      <c r="H162"/>
    </row>
    <row r="163" spans="1:8" x14ac:dyDescent="0.25">
      <c r="A163"/>
      <c r="B163"/>
      <c r="C163"/>
      <c r="D163"/>
      <c r="E163"/>
      <c r="F163"/>
      <c r="G163"/>
      <c r="H163"/>
    </row>
    <row r="164" spans="1:8" x14ac:dyDescent="0.25">
      <c r="A164"/>
      <c r="B164"/>
      <c r="C164"/>
      <c r="D164"/>
      <c r="E164"/>
      <c r="F164"/>
      <c r="G164"/>
      <c r="H164"/>
    </row>
    <row r="165" spans="1:8" x14ac:dyDescent="0.25">
      <c r="A165"/>
      <c r="B165"/>
      <c r="C165"/>
      <c r="D165"/>
      <c r="E165"/>
      <c r="F165"/>
      <c r="G165"/>
      <c r="H165"/>
    </row>
    <row r="166" spans="1:8" x14ac:dyDescent="0.25">
      <c r="A166"/>
      <c r="B166"/>
      <c r="C166"/>
      <c r="D166"/>
      <c r="E166"/>
      <c r="F166"/>
      <c r="G166"/>
      <c r="H166"/>
    </row>
    <row r="167" spans="1:8" x14ac:dyDescent="0.25">
      <c r="A167"/>
      <c r="B167"/>
      <c r="C167"/>
      <c r="D167"/>
      <c r="E167"/>
      <c r="F167"/>
      <c r="G167"/>
      <c r="H167"/>
    </row>
    <row r="168" spans="1:8" x14ac:dyDescent="0.25">
      <c r="A168"/>
      <c r="B168"/>
      <c r="C168"/>
      <c r="D168"/>
      <c r="E168"/>
      <c r="F168"/>
      <c r="G168"/>
      <c r="H168"/>
    </row>
    <row r="169" spans="1:8" x14ac:dyDescent="0.25">
      <c r="A169"/>
      <c r="B169"/>
      <c r="C169"/>
      <c r="D169"/>
      <c r="E169"/>
      <c r="F169"/>
      <c r="G169"/>
      <c r="H169"/>
    </row>
    <row r="170" spans="1:8" x14ac:dyDescent="0.25">
      <c r="A170"/>
      <c r="B170"/>
      <c r="C170"/>
      <c r="D170"/>
      <c r="E170"/>
      <c r="F170"/>
      <c r="G170"/>
      <c r="H170"/>
    </row>
    <row r="171" spans="1:8" x14ac:dyDescent="0.25">
      <c r="A171"/>
      <c r="B171"/>
      <c r="C171"/>
      <c r="D171"/>
      <c r="E171"/>
      <c r="F171"/>
      <c r="G171"/>
      <c r="H171"/>
    </row>
    <row r="172" spans="1:8" x14ac:dyDescent="0.25">
      <c r="A172"/>
      <c r="B172"/>
      <c r="C172"/>
      <c r="D172"/>
      <c r="E172"/>
      <c r="F172"/>
      <c r="G172"/>
      <c r="H172"/>
    </row>
    <row r="173" spans="1:8" x14ac:dyDescent="0.25">
      <c r="A173"/>
      <c r="B173"/>
      <c r="C173"/>
      <c r="D173"/>
      <c r="E173"/>
      <c r="F173"/>
      <c r="G173"/>
      <c r="H173"/>
    </row>
    <row r="174" spans="1:8" x14ac:dyDescent="0.25">
      <c r="A174"/>
      <c r="B174"/>
      <c r="C174"/>
      <c r="D174"/>
      <c r="E174"/>
      <c r="F174"/>
      <c r="G174"/>
      <c r="H174"/>
    </row>
    <row r="175" spans="1:8" x14ac:dyDescent="0.25">
      <c r="A175"/>
      <c r="B175"/>
      <c r="C175"/>
      <c r="D175"/>
      <c r="E175"/>
      <c r="F175"/>
      <c r="G175"/>
      <c r="H175"/>
    </row>
    <row r="176" spans="1:8" x14ac:dyDescent="0.25">
      <c r="A176"/>
      <c r="B176"/>
      <c r="C176"/>
      <c r="D176"/>
      <c r="E176"/>
      <c r="F176"/>
      <c r="G176"/>
      <c r="H176"/>
    </row>
    <row r="177" spans="1:8" x14ac:dyDescent="0.25">
      <c r="A177"/>
      <c r="B177"/>
      <c r="C177"/>
      <c r="D177"/>
      <c r="E177"/>
      <c r="F177"/>
      <c r="G177"/>
      <c r="H177"/>
    </row>
    <row r="178" spans="1:8" x14ac:dyDescent="0.25">
      <c r="A178"/>
      <c r="B178"/>
      <c r="C178"/>
      <c r="D178"/>
      <c r="E178"/>
      <c r="F178"/>
      <c r="G178"/>
      <c r="H178"/>
    </row>
    <row r="179" spans="1:8" x14ac:dyDescent="0.25">
      <c r="A179"/>
      <c r="B179"/>
      <c r="C179"/>
      <c r="D179"/>
      <c r="E179"/>
      <c r="F179"/>
      <c r="G179"/>
      <c r="H179"/>
    </row>
    <row r="180" spans="1:8" x14ac:dyDescent="0.25">
      <c r="A180"/>
      <c r="B180"/>
      <c r="C180"/>
      <c r="D180"/>
      <c r="E180"/>
      <c r="F180"/>
      <c r="G180"/>
      <c r="H180"/>
    </row>
    <row r="181" spans="1:8" x14ac:dyDescent="0.25">
      <c r="A181"/>
      <c r="B181"/>
      <c r="C181"/>
      <c r="D181"/>
      <c r="E181"/>
      <c r="F181"/>
      <c r="G181"/>
      <c r="H181"/>
    </row>
    <row r="182" spans="1:8" x14ac:dyDescent="0.25">
      <c r="A182"/>
      <c r="B182"/>
      <c r="C182"/>
      <c r="D182"/>
      <c r="E182"/>
      <c r="F182"/>
      <c r="G182"/>
      <c r="H182"/>
    </row>
    <row r="183" spans="1:8" x14ac:dyDescent="0.25">
      <c r="A183"/>
      <c r="B183"/>
      <c r="C183"/>
      <c r="D183"/>
      <c r="E183"/>
      <c r="F183"/>
      <c r="G183"/>
      <c r="H183"/>
    </row>
    <row r="184" spans="1:8" x14ac:dyDescent="0.25">
      <c r="A184"/>
      <c r="B184"/>
      <c r="C184"/>
      <c r="D184"/>
      <c r="E184"/>
      <c r="F184"/>
      <c r="G184"/>
      <c r="H184"/>
    </row>
    <row r="185" spans="1:8" x14ac:dyDescent="0.25">
      <c r="A185"/>
      <c r="B185"/>
      <c r="C185"/>
      <c r="D185"/>
      <c r="E185"/>
      <c r="F185"/>
      <c r="G185"/>
      <c r="H185"/>
    </row>
    <row r="186" spans="1:8" x14ac:dyDescent="0.25">
      <c r="A186"/>
      <c r="B186"/>
      <c r="C186"/>
      <c r="D186"/>
      <c r="E186"/>
      <c r="F186"/>
      <c r="G186"/>
      <c r="H186"/>
    </row>
    <row r="187" spans="1:8" x14ac:dyDescent="0.25">
      <c r="A187"/>
      <c r="B187"/>
      <c r="C187"/>
      <c r="D187"/>
      <c r="E187"/>
      <c r="F187"/>
      <c r="G187"/>
      <c r="H187"/>
    </row>
    <row r="188" spans="1:8" x14ac:dyDescent="0.25">
      <c r="A188"/>
      <c r="B188"/>
      <c r="C188"/>
      <c r="D188"/>
      <c r="E188"/>
      <c r="F188"/>
      <c r="G188"/>
      <c r="H188"/>
    </row>
    <row r="189" spans="1:8" x14ac:dyDescent="0.25">
      <c r="A189"/>
      <c r="B189"/>
      <c r="C189"/>
      <c r="D189"/>
      <c r="E189"/>
      <c r="F189"/>
      <c r="G189"/>
      <c r="H189"/>
    </row>
    <row r="190" spans="1:8" x14ac:dyDescent="0.25">
      <c r="A190"/>
      <c r="B190"/>
      <c r="C190"/>
      <c r="D190"/>
      <c r="E190"/>
      <c r="F190"/>
      <c r="G190"/>
      <c r="H190"/>
    </row>
    <row r="191" spans="1:8" x14ac:dyDescent="0.25">
      <c r="A191"/>
      <c r="B191"/>
      <c r="C191"/>
      <c r="D191"/>
      <c r="E191"/>
      <c r="F191"/>
      <c r="G191"/>
      <c r="H191"/>
    </row>
    <row r="192" spans="1:8" x14ac:dyDescent="0.25">
      <c r="A192"/>
      <c r="B192"/>
      <c r="C192"/>
      <c r="D192"/>
      <c r="E192"/>
      <c r="F192"/>
      <c r="G192"/>
      <c r="H192"/>
    </row>
    <row r="193" spans="1:9" x14ac:dyDescent="0.25">
      <c r="A193"/>
      <c r="B193"/>
      <c r="C193"/>
      <c r="D193"/>
      <c r="E193"/>
      <c r="F193"/>
      <c r="G193"/>
      <c r="H193"/>
    </row>
    <row r="194" spans="1:9" x14ac:dyDescent="0.25">
      <c r="A194"/>
      <c r="B194"/>
      <c r="C194"/>
      <c r="D194"/>
      <c r="E194"/>
      <c r="F194"/>
      <c r="G194"/>
      <c r="H194"/>
    </row>
    <row r="195" spans="1:9" x14ac:dyDescent="0.25">
      <c r="A195"/>
      <c r="B195"/>
      <c r="C195"/>
      <c r="D195"/>
      <c r="E195"/>
      <c r="F195"/>
      <c r="G195"/>
      <c r="H195"/>
    </row>
    <row r="196" spans="1:9" x14ac:dyDescent="0.25">
      <c r="A196"/>
      <c r="B196"/>
      <c r="C196"/>
      <c r="D196"/>
      <c r="E196"/>
      <c r="F196"/>
      <c r="G196"/>
      <c r="H196"/>
    </row>
    <row r="197" spans="1:9" x14ac:dyDescent="0.25">
      <c r="A197"/>
      <c r="B197"/>
      <c r="C197"/>
      <c r="D197"/>
      <c r="E197"/>
      <c r="F197"/>
      <c r="G197"/>
      <c r="H197"/>
    </row>
    <row r="198" spans="1:9" x14ac:dyDescent="0.25">
      <c r="A198"/>
      <c r="B198"/>
      <c r="C198"/>
      <c r="D198"/>
      <c r="E198"/>
      <c r="F198"/>
      <c r="G198"/>
      <c r="H198"/>
    </row>
    <row r="199" spans="1:9" x14ac:dyDescent="0.25">
      <c r="A199"/>
      <c r="B199"/>
      <c r="C199"/>
      <c r="D199"/>
      <c r="E199"/>
      <c r="F199"/>
      <c r="G199"/>
      <c r="H199"/>
    </row>
    <row r="200" spans="1:9" x14ac:dyDescent="0.25">
      <c r="A200"/>
      <c r="B200"/>
      <c r="C200"/>
      <c r="D200"/>
      <c r="E200"/>
      <c r="F200"/>
      <c r="G200"/>
      <c r="H200"/>
    </row>
    <row r="201" spans="1:9" s="50" customFormat="1" ht="15.75" thickBot="1" x14ac:dyDescent="0.3">
      <c r="A201"/>
      <c r="B201"/>
      <c r="C201"/>
      <c r="D201"/>
      <c r="E201"/>
      <c r="F201"/>
      <c r="G201"/>
      <c r="H201"/>
      <c r="I201" s="61"/>
    </row>
    <row r="202" spans="1:9" x14ac:dyDescent="0.25">
      <c r="A202"/>
      <c r="B202"/>
      <c r="C202"/>
      <c r="D202"/>
      <c r="E202"/>
      <c r="F202"/>
      <c r="G202"/>
      <c r="H202"/>
    </row>
    <row r="203" spans="1:9" x14ac:dyDescent="0.25">
      <c r="A203"/>
      <c r="B203"/>
      <c r="C203"/>
      <c r="D203"/>
      <c r="E203"/>
      <c r="F203"/>
      <c r="G203"/>
      <c r="H203"/>
    </row>
    <row r="204" spans="1:9" x14ac:dyDescent="0.25">
      <c r="A204"/>
      <c r="B204"/>
      <c r="C204"/>
      <c r="D204"/>
      <c r="E204"/>
      <c r="F204"/>
      <c r="G204"/>
      <c r="H204"/>
    </row>
    <row r="205" spans="1:9" x14ac:dyDescent="0.25">
      <c r="A205"/>
      <c r="B205"/>
      <c r="C205"/>
      <c r="D205"/>
      <c r="E205"/>
      <c r="F205"/>
      <c r="G205"/>
      <c r="H205"/>
    </row>
    <row r="206" spans="1:9" x14ac:dyDescent="0.25">
      <c r="A206"/>
      <c r="B206"/>
      <c r="C206"/>
      <c r="D206"/>
      <c r="E206"/>
      <c r="F206"/>
      <c r="G206"/>
      <c r="H206"/>
    </row>
    <row r="207" spans="1:9" x14ac:dyDescent="0.25">
      <c r="A207"/>
      <c r="B207"/>
      <c r="C207"/>
      <c r="D207"/>
      <c r="E207"/>
      <c r="F207"/>
      <c r="G207"/>
      <c r="H207"/>
    </row>
    <row r="208" spans="1:9" x14ac:dyDescent="0.25">
      <c r="A208"/>
      <c r="B208"/>
      <c r="C208"/>
      <c r="D208"/>
      <c r="E208"/>
      <c r="F208"/>
      <c r="G208"/>
      <c r="H208"/>
    </row>
    <row r="209" spans="1:8" x14ac:dyDescent="0.25">
      <c r="A209"/>
      <c r="B209"/>
      <c r="C209"/>
      <c r="D209"/>
      <c r="E209"/>
      <c r="F209"/>
      <c r="G209"/>
      <c r="H209"/>
    </row>
    <row r="210" spans="1:8" x14ac:dyDescent="0.25">
      <c r="A210"/>
      <c r="B210"/>
      <c r="C210"/>
      <c r="D210"/>
      <c r="E210"/>
      <c r="F210"/>
      <c r="G210"/>
      <c r="H210"/>
    </row>
    <row r="211" spans="1:8" x14ac:dyDescent="0.25">
      <c r="A211"/>
      <c r="B211"/>
      <c r="C211"/>
      <c r="D211"/>
      <c r="E211"/>
      <c r="F211"/>
      <c r="G211"/>
      <c r="H211"/>
    </row>
    <row r="212" spans="1:8" x14ac:dyDescent="0.25">
      <c r="A212"/>
      <c r="B212"/>
      <c r="C212"/>
      <c r="D212"/>
      <c r="E212"/>
      <c r="F212"/>
      <c r="G212"/>
      <c r="H212"/>
    </row>
    <row r="213" spans="1:8" x14ac:dyDescent="0.25">
      <c r="A213"/>
      <c r="B213"/>
      <c r="C213"/>
      <c r="D213"/>
      <c r="E213"/>
      <c r="F213"/>
      <c r="G213"/>
      <c r="H213"/>
    </row>
    <row r="214" spans="1:8" x14ac:dyDescent="0.25">
      <c r="A214"/>
      <c r="B214"/>
      <c r="C214"/>
      <c r="D214"/>
      <c r="E214"/>
      <c r="F214"/>
      <c r="G214"/>
      <c r="H214"/>
    </row>
    <row r="215" spans="1:8" x14ac:dyDescent="0.25">
      <c r="A215"/>
      <c r="B215"/>
      <c r="C215"/>
      <c r="D215"/>
      <c r="E215"/>
      <c r="F215"/>
      <c r="G215"/>
      <c r="H215"/>
    </row>
    <row r="216" spans="1:8" x14ac:dyDescent="0.25">
      <c r="A216"/>
      <c r="B216"/>
      <c r="C216"/>
      <c r="D216"/>
      <c r="E216"/>
      <c r="F216"/>
      <c r="G216"/>
      <c r="H216"/>
    </row>
    <row r="217" spans="1:8" x14ac:dyDescent="0.25">
      <c r="A217"/>
      <c r="B217"/>
      <c r="C217"/>
      <c r="D217"/>
      <c r="E217"/>
      <c r="F217"/>
      <c r="G217"/>
      <c r="H217"/>
    </row>
    <row r="218" spans="1:8" x14ac:dyDescent="0.25">
      <c r="A218"/>
      <c r="B218"/>
      <c r="C218"/>
      <c r="D218"/>
      <c r="E218"/>
      <c r="F218"/>
      <c r="G218"/>
      <c r="H218"/>
    </row>
    <row r="219" spans="1:8" x14ac:dyDescent="0.25">
      <c r="A219"/>
      <c r="B219"/>
      <c r="C219"/>
      <c r="D219"/>
      <c r="E219"/>
      <c r="F219"/>
      <c r="G219"/>
      <c r="H219"/>
    </row>
    <row r="220" spans="1:8" x14ac:dyDescent="0.25">
      <c r="A220"/>
      <c r="B220"/>
      <c r="C220"/>
      <c r="D220"/>
      <c r="E220"/>
      <c r="F220"/>
      <c r="G220"/>
      <c r="H220"/>
    </row>
    <row r="221" spans="1:8" x14ac:dyDescent="0.25">
      <c r="A221"/>
      <c r="B221"/>
      <c r="C221"/>
      <c r="D221"/>
      <c r="E221"/>
      <c r="F221"/>
      <c r="G221"/>
      <c r="H221"/>
    </row>
    <row r="222" spans="1:8" x14ac:dyDescent="0.25">
      <c r="A222"/>
      <c r="B222"/>
      <c r="C222"/>
      <c r="D222"/>
      <c r="E222"/>
      <c r="F222"/>
      <c r="G222"/>
      <c r="H222"/>
    </row>
    <row r="223" spans="1:8" x14ac:dyDescent="0.25">
      <c r="A223"/>
      <c r="B223"/>
      <c r="C223"/>
      <c r="D223"/>
      <c r="E223"/>
      <c r="F223"/>
      <c r="G223"/>
      <c r="H223"/>
    </row>
    <row r="224" spans="1:8" x14ac:dyDescent="0.25">
      <c r="A224"/>
      <c r="B224"/>
      <c r="C224"/>
      <c r="D224"/>
      <c r="E224"/>
      <c r="F224"/>
      <c r="G224"/>
      <c r="H224"/>
    </row>
    <row r="225" spans="1:8" x14ac:dyDescent="0.25">
      <c r="A225"/>
      <c r="B225"/>
      <c r="C225"/>
      <c r="D225"/>
      <c r="E225"/>
      <c r="F225"/>
      <c r="G225"/>
      <c r="H225"/>
    </row>
    <row r="226" spans="1:8" x14ac:dyDescent="0.25">
      <c r="A226"/>
      <c r="B226"/>
      <c r="C226"/>
      <c r="D226"/>
      <c r="E226"/>
      <c r="F226"/>
      <c r="G226"/>
      <c r="H226"/>
    </row>
    <row r="227" spans="1:8" x14ac:dyDescent="0.25">
      <c r="A227"/>
      <c r="B227"/>
      <c r="C227"/>
      <c r="D227"/>
      <c r="E227"/>
      <c r="F227"/>
      <c r="G227"/>
      <c r="H227"/>
    </row>
    <row r="228" spans="1:8" x14ac:dyDescent="0.25">
      <c r="A228"/>
      <c r="B228"/>
      <c r="C228"/>
      <c r="D228"/>
      <c r="E228"/>
      <c r="F228"/>
      <c r="G228"/>
      <c r="H228"/>
    </row>
    <row r="229" spans="1:8" x14ac:dyDescent="0.25">
      <c r="A229"/>
      <c r="B229"/>
      <c r="C229"/>
      <c r="D229"/>
      <c r="E229"/>
      <c r="F229"/>
      <c r="G229"/>
      <c r="H229"/>
    </row>
    <row r="230" spans="1:8" x14ac:dyDescent="0.25">
      <c r="A230"/>
      <c r="B230"/>
      <c r="C230"/>
      <c r="D230"/>
      <c r="E230"/>
      <c r="F230"/>
      <c r="G230"/>
      <c r="H230"/>
    </row>
    <row r="231" spans="1:8" x14ac:dyDescent="0.25">
      <c r="A231"/>
      <c r="B231"/>
      <c r="C231"/>
      <c r="D231"/>
      <c r="E231"/>
      <c r="F231"/>
      <c r="G231"/>
      <c r="H231"/>
    </row>
    <row r="232" spans="1:8" x14ac:dyDescent="0.25">
      <c r="A232"/>
      <c r="B232"/>
      <c r="C232"/>
      <c r="D232"/>
      <c r="E232"/>
      <c r="F232"/>
      <c r="G232"/>
      <c r="H232"/>
    </row>
    <row r="233" spans="1:8" x14ac:dyDescent="0.25">
      <c r="A233"/>
      <c r="B233"/>
      <c r="C233"/>
      <c r="D233"/>
      <c r="E233"/>
      <c r="F233"/>
      <c r="G233"/>
      <c r="H233"/>
    </row>
    <row r="234" spans="1:8" x14ac:dyDescent="0.25">
      <c r="A234"/>
      <c r="B234"/>
      <c r="C234"/>
      <c r="D234"/>
      <c r="E234"/>
      <c r="F234"/>
      <c r="G234"/>
      <c r="H234"/>
    </row>
    <row r="235" spans="1:8" x14ac:dyDescent="0.25">
      <c r="A235"/>
      <c r="B235"/>
      <c r="C235"/>
      <c r="D235"/>
      <c r="E235"/>
      <c r="F235"/>
      <c r="G235"/>
      <c r="H235"/>
    </row>
    <row r="236" spans="1:8" x14ac:dyDescent="0.25">
      <c r="A236"/>
      <c r="B236"/>
      <c r="C236"/>
      <c r="D236"/>
      <c r="E236"/>
      <c r="F236"/>
      <c r="G236"/>
      <c r="H236"/>
    </row>
    <row r="237" spans="1:8" x14ac:dyDescent="0.25">
      <c r="A237"/>
      <c r="B237"/>
      <c r="C237"/>
      <c r="D237"/>
      <c r="E237"/>
      <c r="F237"/>
      <c r="G237"/>
      <c r="H237"/>
    </row>
    <row r="238" spans="1:8" x14ac:dyDescent="0.25">
      <c r="A238"/>
      <c r="B238"/>
      <c r="C238"/>
      <c r="D238"/>
      <c r="E238"/>
      <c r="F238"/>
      <c r="G238"/>
      <c r="H238"/>
    </row>
    <row r="239" spans="1:8" x14ac:dyDescent="0.25">
      <c r="A239"/>
      <c r="B239"/>
      <c r="C239"/>
      <c r="D239"/>
      <c r="E239"/>
      <c r="F239"/>
      <c r="G239"/>
      <c r="H239"/>
    </row>
    <row r="240" spans="1:8" x14ac:dyDescent="0.25">
      <c r="A240"/>
      <c r="B240"/>
      <c r="C240"/>
      <c r="D240"/>
      <c r="E240"/>
      <c r="F240"/>
      <c r="G240"/>
      <c r="H240"/>
    </row>
    <row r="241" spans="1:8" x14ac:dyDescent="0.25">
      <c r="A241"/>
      <c r="B241"/>
      <c r="C241"/>
      <c r="D241"/>
      <c r="E241"/>
      <c r="F241"/>
      <c r="G241"/>
      <c r="H241"/>
    </row>
    <row r="242" spans="1:8" x14ac:dyDescent="0.25">
      <c r="A242"/>
      <c r="B242"/>
      <c r="C242"/>
      <c r="D242"/>
      <c r="E242"/>
      <c r="F242"/>
      <c r="G242"/>
      <c r="H242"/>
    </row>
    <row r="243" spans="1:8" x14ac:dyDescent="0.25">
      <c r="A243"/>
      <c r="B243"/>
      <c r="C243"/>
      <c r="D243"/>
      <c r="E243"/>
      <c r="F243"/>
      <c r="G243"/>
      <c r="H243"/>
    </row>
    <row r="244" spans="1:8" x14ac:dyDescent="0.25">
      <c r="A244"/>
      <c r="B244"/>
      <c r="C244"/>
      <c r="D244"/>
      <c r="E244"/>
      <c r="F244"/>
      <c r="G244"/>
      <c r="H244"/>
    </row>
    <row r="245" spans="1:8" x14ac:dyDescent="0.25">
      <c r="A245"/>
      <c r="B245"/>
      <c r="C245"/>
      <c r="D245"/>
      <c r="E245"/>
      <c r="F245"/>
      <c r="G245"/>
      <c r="H245"/>
    </row>
    <row r="246" spans="1:8" x14ac:dyDescent="0.25">
      <c r="A246"/>
      <c r="B246"/>
      <c r="C246"/>
      <c r="D246"/>
      <c r="E246"/>
      <c r="F246"/>
      <c r="G246"/>
      <c r="H246"/>
    </row>
    <row r="247" spans="1:8" x14ac:dyDescent="0.25">
      <c r="A247"/>
      <c r="B247"/>
      <c r="C247"/>
      <c r="D247"/>
      <c r="E247"/>
      <c r="F247"/>
      <c r="G247"/>
      <c r="H247"/>
    </row>
    <row r="248" spans="1:8" x14ac:dyDescent="0.25">
      <c r="A248"/>
      <c r="B248"/>
      <c r="C248"/>
      <c r="D248"/>
      <c r="E248"/>
      <c r="F248"/>
      <c r="G248"/>
      <c r="H248"/>
    </row>
    <row r="249" spans="1:8" x14ac:dyDescent="0.25">
      <c r="A249"/>
      <c r="B249"/>
      <c r="C249"/>
      <c r="D249"/>
      <c r="E249"/>
      <c r="F249"/>
      <c r="G249"/>
      <c r="H249"/>
    </row>
    <row r="250" spans="1:8" x14ac:dyDescent="0.25">
      <c r="A250"/>
      <c r="B250"/>
      <c r="C250"/>
      <c r="D250"/>
      <c r="E250"/>
      <c r="F250"/>
      <c r="G250"/>
      <c r="H250"/>
    </row>
    <row r="251" spans="1:8" x14ac:dyDescent="0.25">
      <c r="A251"/>
      <c r="B251"/>
      <c r="C251"/>
      <c r="D251"/>
      <c r="E251"/>
      <c r="F251"/>
      <c r="G251"/>
      <c r="H251"/>
    </row>
    <row r="252" spans="1:8" x14ac:dyDescent="0.25">
      <c r="A252"/>
      <c r="B252"/>
      <c r="C252"/>
      <c r="D252"/>
      <c r="E252"/>
      <c r="F252"/>
      <c r="G252"/>
      <c r="H252"/>
    </row>
    <row r="253" spans="1:8" x14ac:dyDescent="0.25">
      <c r="A253"/>
      <c r="B253"/>
      <c r="C253"/>
      <c r="D253"/>
      <c r="E253"/>
      <c r="F253"/>
      <c r="G253"/>
      <c r="H253"/>
    </row>
    <row r="254" spans="1:8" x14ac:dyDescent="0.25">
      <c r="A254"/>
      <c r="B254"/>
      <c r="C254"/>
      <c r="D254"/>
      <c r="E254"/>
      <c r="F254"/>
      <c r="G254"/>
      <c r="H254"/>
    </row>
    <row r="255" spans="1:8" x14ac:dyDescent="0.25">
      <c r="A255"/>
      <c r="B255"/>
      <c r="C255"/>
      <c r="D255"/>
      <c r="E255"/>
      <c r="F255"/>
      <c r="G255"/>
      <c r="H255"/>
    </row>
    <row r="256" spans="1:8" x14ac:dyDescent="0.25">
      <c r="A256"/>
      <c r="B256"/>
      <c r="C256"/>
      <c r="D256"/>
      <c r="E256"/>
      <c r="F256"/>
      <c r="G256"/>
      <c r="H256"/>
    </row>
    <row r="257" spans="1:8" x14ac:dyDescent="0.25">
      <c r="A257"/>
      <c r="B257"/>
      <c r="C257"/>
      <c r="D257"/>
      <c r="E257"/>
      <c r="F257"/>
      <c r="G257"/>
      <c r="H257"/>
    </row>
    <row r="258" spans="1:8" x14ac:dyDescent="0.25">
      <c r="A258"/>
      <c r="B258"/>
      <c r="C258"/>
      <c r="D258"/>
      <c r="E258"/>
      <c r="F258"/>
      <c r="G258"/>
      <c r="H258"/>
    </row>
    <row r="259" spans="1:8" x14ac:dyDescent="0.25">
      <c r="A259"/>
      <c r="B259"/>
      <c r="C259"/>
      <c r="D259"/>
      <c r="E259"/>
      <c r="F259"/>
      <c r="G259"/>
      <c r="H259"/>
    </row>
    <row r="260" spans="1:8" x14ac:dyDescent="0.25">
      <c r="A260"/>
      <c r="B260"/>
      <c r="C260"/>
      <c r="D260"/>
      <c r="E260"/>
      <c r="F260"/>
      <c r="G260"/>
      <c r="H260"/>
    </row>
    <row r="261" spans="1:8" x14ac:dyDescent="0.25">
      <c r="A261"/>
      <c r="B261"/>
      <c r="C261"/>
      <c r="D261"/>
      <c r="E261"/>
      <c r="F261"/>
      <c r="G261"/>
      <c r="H261"/>
    </row>
    <row r="262" spans="1:8" x14ac:dyDescent="0.25">
      <c r="A262"/>
      <c r="B262"/>
      <c r="C262"/>
      <c r="D262"/>
      <c r="E262"/>
      <c r="F262"/>
      <c r="G262"/>
      <c r="H262"/>
    </row>
    <row r="263" spans="1:8" x14ac:dyDescent="0.25">
      <c r="A263"/>
      <c r="B263"/>
      <c r="C263"/>
      <c r="D263"/>
      <c r="E263"/>
      <c r="F263"/>
      <c r="G263"/>
      <c r="H263"/>
    </row>
    <row r="264" spans="1:8" x14ac:dyDescent="0.25">
      <c r="A264"/>
      <c r="B264"/>
      <c r="C264"/>
      <c r="D264"/>
      <c r="E264"/>
      <c r="F264"/>
      <c r="G264"/>
      <c r="H264"/>
    </row>
    <row r="265" spans="1:8" x14ac:dyDescent="0.25">
      <c r="A265"/>
      <c r="B265"/>
      <c r="C265"/>
      <c r="D265"/>
      <c r="E265"/>
      <c r="F265"/>
      <c r="G265"/>
      <c r="H265"/>
    </row>
    <row r="266" spans="1:8" x14ac:dyDescent="0.25">
      <c r="A266"/>
      <c r="B266"/>
      <c r="C266"/>
      <c r="D266"/>
      <c r="E266"/>
      <c r="F266"/>
      <c r="G266"/>
      <c r="H266"/>
    </row>
    <row r="267" spans="1:8" x14ac:dyDescent="0.25">
      <c r="A267"/>
      <c r="B267"/>
      <c r="C267"/>
      <c r="D267"/>
      <c r="E267"/>
      <c r="F267"/>
      <c r="G267"/>
      <c r="H267"/>
    </row>
    <row r="268" spans="1:8" x14ac:dyDescent="0.25">
      <c r="A268"/>
      <c r="B268"/>
      <c r="C268"/>
      <c r="D268"/>
      <c r="E268"/>
      <c r="F268"/>
      <c r="G268"/>
      <c r="H268"/>
    </row>
    <row r="269" spans="1:8" x14ac:dyDescent="0.25">
      <c r="A269"/>
      <c r="B269"/>
      <c r="C269"/>
      <c r="D269"/>
      <c r="E269"/>
      <c r="F269"/>
      <c r="G269"/>
      <c r="H269"/>
    </row>
    <row r="270" spans="1:8" x14ac:dyDescent="0.25">
      <c r="A270"/>
      <c r="B270"/>
      <c r="C270"/>
      <c r="D270"/>
      <c r="E270"/>
      <c r="F270"/>
      <c r="G270"/>
      <c r="H270"/>
    </row>
    <row r="271" spans="1:8" x14ac:dyDescent="0.25">
      <c r="A271"/>
      <c r="B271"/>
      <c r="C271"/>
      <c r="D271"/>
      <c r="E271"/>
      <c r="F271"/>
      <c r="G271"/>
      <c r="H271"/>
    </row>
    <row r="272" spans="1:8" x14ac:dyDescent="0.25">
      <c r="A272"/>
      <c r="B272"/>
      <c r="C272"/>
      <c r="D272"/>
      <c r="E272"/>
      <c r="F272"/>
      <c r="G272"/>
      <c r="H272"/>
    </row>
    <row r="273" spans="1:8" x14ac:dyDescent="0.25">
      <c r="A273"/>
      <c r="B273"/>
      <c r="C273"/>
      <c r="D273"/>
      <c r="E273"/>
      <c r="F273"/>
      <c r="G273"/>
      <c r="H273"/>
    </row>
    <row r="274" spans="1:8" x14ac:dyDescent="0.25">
      <c r="A274"/>
      <c r="B274"/>
      <c r="C274"/>
      <c r="D274"/>
      <c r="E274"/>
      <c r="F274"/>
      <c r="G274"/>
      <c r="H274"/>
    </row>
    <row r="275" spans="1:8" x14ac:dyDescent="0.25">
      <c r="A275"/>
      <c r="B275"/>
      <c r="C275"/>
      <c r="D275"/>
      <c r="E275"/>
      <c r="F275"/>
      <c r="G275"/>
      <c r="H275"/>
    </row>
    <row r="276" spans="1:8" x14ac:dyDescent="0.25">
      <c r="A276"/>
      <c r="B276"/>
      <c r="C276"/>
      <c r="D276"/>
      <c r="E276"/>
      <c r="F276"/>
      <c r="G276"/>
      <c r="H276"/>
    </row>
    <row r="277" spans="1:8" x14ac:dyDescent="0.25">
      <c r="A277"/>
      <c r="B277"/>
      <c r="C277"/>
      <c r="D277"/>
      <c r="E277"/>
      <c r="F277"/>
      <c r="G277"/>
      <c r="H277"/>
    </row>
    <row r="278" spans="1:8" x14ac:dyDescent="0.25">
      <c r="A278"/>
      <c r="B278"/>
      <c r="C278"/>
      <c r="D278"/>
      <c r="E278"/>
      <c r="F278"/>
      <c r="G278"/>
      <c r="H278"/>
    </row>
    <row r="279" spans="1:8" x14ac:dyDescent="0.25">
      <c r="A279"/>
      <c r="B279"/>
      <c r="C279"/>
      <c r="D279"/>
      <c r="E279"/>
      <c r="F279"/>
      <c r="G279"/>
      <c r="H279"/>
    </row>
    <row r="280" spans="1:8" x14ac:dyDescent="0.25">
      <c r="A280"/>
      <c r="B280"/>
      <c r="C280"/>
      <c r="D280"/>
      <c r="E280"/>
      <c r="F280"/>
      <c r="G280"/>
      <c r="H280"/>
    </row>
    <row r="281" spans="1:8" x14ac:dyDescent="0.25">
      <c r="A281"/>
      <c r="B281"/>
      <c r="C281"/>
      <c r="D281"/>
      <c r="E281"/>
      <c r="F281"/>
      <c r="G281"/>
      <c r="H281"/>
    </row>
    <row r="282" spans="1:8" x14ac:dyDescent="0.25">
      <c r="A282"/>
      <c r="B282"/>
      <c r="C282"/>
      <c r="D282"/>
      <c r="E282"/>
      <c r="F282"/>
      <c r="G282"/>
      <c r="H282"/>
    </row>
    <row r="283" spans="1:8" x14ac:dyDescent="0.25">
      <c r="A283"/>
      <c r="B283"/>
      <c r="C283"/>
      <c r="D283"/>
      <c r="E283"/>
      <c r="F283"/>
      <c r="G283"/>
      <c r="H283"/>
    </row>
    <row r="284" spans="1:8" x14ac:dyDescent="0.25">
      <c r="A284"/>
      <c r="B284"/>
      <c r="C284"/>
      <c r="D284"/>
      <c r="E284"/>
      <c r="F284"/>
      <c r="G284"/>
      <c r="H284"/>
    </row>
    <row r="285" spans="1:8" x14ac:dyDescent="0.25">
      <c r="A285"/>
      <c r="B285"/>
      <c r="C285"/>
      <c r="D285"/>
      <c r="E285"/>
      <c r="F285"/>
      <c r="G285"/>
      <c r="H285"/>
    </row>
    <row r="286" spans="1:8" x14ac:dyDescent="0.25">
      <c r="A286"/>
      <c r="B286"/>
      <c r="C286"/>
      <c r="D286"/>
      <c r="E286"/>
      <c r="F286"/>
      <c r="G286"/>
      <c r="H286"/>
    </row>
    <row r="287" spans="1:8" x14ac:dyDescent="0.25">
      <c r="A287"/>
      <c r="B287"/>
      <c r="C287"/>
      <c r="D287"/>
      <c r="E287"/>
      <c r="F287"/>
      <c r="G287"/>
      <c r="H287"/>
    </row>
    <row r="288" spans="1:8" x14ac:dyDescent="0.25">
      <c r="A288"/>
      <c r="B288"/>
      <c r="C288"/>
      <c r="D288"/>
      <c r="E288"/>
      <c r="F288"/>
      <c r="G288"/>
      <c r="H288"/>
    </row>
    <row r="289" spans="1:8" x14ac:dyDescent="0.25">
      <c r="A289"/>
      <c r="B289"/>
      <c r="C289"/>
      <c r="D289"/>
      <c r="E289"/>
      <c r="F289"/>
      <c r="G289"/>
      <c r="H289"/>
    </row>
    <row r="290" spans="1:8" x14ac:dyDescent="0.25">
      <c r="A290"/>
      <c r="B290"/>
      <c r="C290"/>
      <c r="D290"/>
      <c r="E290"/>
      <c r="F290"/>
      <c r="G290"/>
      <c r="H290"/>
    </row>
    <row r="291" spans="1:8" x14ac:dyDescent="0.25">
      <c r="A291"/>
      <c r="B291"/>
      <c r="C291"/>
      <c r="D291"/>
      <c r="E291"/>
      <c r="F291"/>
      <c r="G291"/>
      <c r="H291"/>
    </row>
    <row r="292" spans="1:8" x14ac:dyDescent="0.25">
      <c r="A292"/>
      <c r="B292"/>
      <c r="C292"/>
      <c r="D292"/>
      <c r="E292"/>
      <c r="F292"/>
      <c r="G292"/>
      <c r="H292"/>
    </row>
    <row r="293" spans="1:8" x14ac:dyDescent="0.25">
      <c r="A293"/>
      <c r="B293"/>
      <c r="C293"/>
      <c r="D293"/>
      <c r="E293"/>
      <c r="F293"/>
      <c r="G293"/>
      <c r="H293"/>
    </row>
    <row r="294" spans="1:8" x14ac:dyDescent="0.25">
      <c r="A294"/>
      <c r="B294"/>
      <c r="C294"/>
      <c r="D294"/>
      <c r="E294"/>
      <c r="F294"/>
      <c r="G294"/>
      <c r="H294"/>
    </row>
    <row r="295" spans="1:8" x14ac:dyDescent="0.25">
      <c r="A295"/>
      <c r="B295"/>
      <c r="C295"/>
      <c r="D295"/>
      <c r="E295"/>
      <c r="F295"/>
      <c r="G295"/>
      <c r="H295"/>
    </row>
    <row r="296" spans="1:8" x14ac:dyDescent="0.25">
      <c r="A296"/>
      <c r="B296"/>
      <c r="C296"/>
      <c r="D296"/>
      <c r="E296"/>
      <c r="F296"/>
      <c r="G296"/>
      <c r="H296"/>
    </row>
    <row r="297" spans="1:8" x14ac:dyDescent="0.25">
      <c r="A297"/>
      <c r="B297"/>
      <c r="C297"/>
      <c r="D297"/>
      <c r="E297"/>
      <c r="F297"/>
      <c r="G297"/>
      <c r="H297"/>
    </row>
    <row r="298" spans="1:8" x14ac:dyDescent="0.25">
      <c r="A298"/>
      <c r="B298"/>
      <c r="C298"/>
      <c r="D298"/>
      <c r="E298"/>
      <c r="F298"/>
      <c r="G298"/>
      <c r="H298"/>
    </row>
    <row r="299" spans="1:8" x14ac:dyDescent="0.25">
      <c r="A299"/>
      <c r="B299"/>
      <c r="C299"/>
      <c r="D299"/>
      <c r="E299"/>
      <c r="F299"/>
      <c r="G299"/>
      <c r="H299"/>
    </row>
    <row r="300" spans="1:8" x14ac:dyDescent="0.25">
      <c r="A300"/>
      <c r="B300"/>
      <c r="C300"/>
      <c r="D300"/>
      <c r="E300"/>
      <c r="F300"/>
      <c r="G300"/>
      <c r="H300"/>
    </row>
    <row r="301" spans="1:8" x14ac:dyDescent="0.25">
      <c r="A301"/>
      <c r="B301"/>
      <c r="C301"/>
      <c r="D301"/>
      <c r="E301"/>
      <c r="F301"/>
      <c r="G301"/>
      <c r="H301"/>
    </row>
    <row r="302" spans="1:8" x14ac:dyDescent="0.25">
      <c r="A302"/>
      <c r="B302"/>
      <c r="C302"/>
      <c r="D302"/>
      <c r="E302"/>
      <c r="F302"/>
      <c r="G302"/>
      <c r="H302"/>
    </row>
    <row r="303" spans="1:8" x14ac:dyDescent="0.25">
      <c r="A303"/>
      <c r="B303"/>
      <c r="C303"/>
      <c r="D303"/>
      <c r="E303"/>
      <c r="F303"/>
      <c r="G303"/>
      <c r="H303"/>
    </row>
    <row r="304" spans="1:8" x14ac:dyDescent="0.25">
      <c r="A304"/>
      <c r="B304"/>
      <c r="C304"/>
      <c r="D304"/>
      <c r="E304"/>
      <c r="F304"/>
      <c r="G304"/>
      <c r="H304"/>
    </row>
    <row r="305" spans="1:8" x14ac:dyDescent="0.25">
      <c r="A305"/>
      <c r="B305"/>
      <c r="C305"/>
      <c r="D305"/>
      <c r="E305"/>
      <c r="F305"/>
      <c r="G305"/>
      <c r="H305"/>
    </row>
    <row r="306" spans="1:8" x14ac:dyDescent="0.25">
      <c r="A306"/>
      <c r="B306"/>
      <c r="C306"/>
      <c r="D306"/>
      <c r="E306"/>
      <c r="F306"/>
      <c r="G306"/>
      <c r="H306"/>
    </row>
    <row r="307" spans="1:8" x14ac:dyDescent="0.25">
      <c r="A307"/>
      <c r="B307"/>
      <c r="C307"/>
      <c r="D307"/>
      <c r="E307"/>
      <c r="F307"/>
      <c r="G307"/>
      <c r="H307"/>
    </row>
    <row r="308" spans="1:8" x14ac:dyDescent="0.25">
      <c r="A308"/>
      <c r="B308"/>
      <c r="C308"/>
      <c r="D308"/>
      <c r="E308"/>
      <c r="F308"/>
      <c r="G308"/>
      <c r="H308"/>
    </row>
    <row r="309" spans="1:8" x14ac:dyDescent="0.25">
      <c r="A309"/>
      <c r="B309"/>
      <c r="C309"/>
      <c r="D309"/>
      <c r="E309"/>
      <c r="F309"/>
      <c r="G309"/>
      <c r="H309"/>
    </row>
    <row r="310" spans="1:8" x14ac:dyDescent="0.25">
      <c r="A310"/>
      <c r="B310"/>
      <c r="C310"/>
      <c r="D310"/>
      <c r="E310"/>
      <c r="F310"/>
      <c r="G310"/>
      <c r="H310"/>
    </row>
    <row r="311" spans="1:8" x14ac:dyDescent="0.25">
      <c r="A311"/>
      <c r="B311"/>
      <c r="C311"/>
      <c r="D311"/>
      <c r="E311"/>
      <c r="F311"/>
      <c r="G311"/>
      <c r="H311"/>
    </row>
    <row r="312" spans="1:8" x14ac:dyDescent="0.25">
      <c r="A312"/>
      <c r="B312"/>
      <c r="C312"/>
      <c r="D312"/>
      <c r="E312"/>
      <c r="F312"/>
      <c r="G312"/>
      <c r="H312"/>
    </row>
    <row r="313" spans="1:8" x14ac:dyDescent="0.25">
      <c r="A313"/>
      <c r="B313"/>
      <c r="C313"/>
      <c r="D313"/>
      <c r="E313"/>
      <c r="F313"/>
      <c r="G313"/>
      <c r="H313"/>
    </row>
    <row r="314" spans="1:8" x14ac:dyDescent="0.25">
      <c r="A314"/>
      <c r="B314"/>
      <c r="C314"/>
      <c r="D314"/>
      <c r="E314"/>
      <c r="F314"/>
      <c r="G314"/>
      <c r="H314"/>
    </row>
    <row r="315" spans="1:8" x14ac:dyDescent="0.25">
      <c r="A315"/>
      <c r="B315"/>
      <c r="C315"/>
      <c r="D315"/>
      <c r="E315"/>
      <c r="F315"/>
      <c r="G315"/>
      <c r="H315"/>
    </row>
    <row r="316" spans="1:8" x14ac:dyDescent="0.25">
      <c r="A316"/>
      <c r="B316"/>
      <c r="C316"/>
      <c r="D316"/>
      <c r="E316"/>
      <c r="F316"/>
      <c r="G316"/>
      <c r="H316"/>
    </row>
    <row r="317" spans="1:8" x14ac:dyDescent="0.25">
      <c r="A317"/>
      <c r="B317"/>
      <c r="C317"/>
      <c r="D317"/>
      <c r="E317"/>
      <c r="F317"/>
      <c r="G317"/>
      <c r="H317"/>
    </row>
    <row r="318" spans="1:8" x14ac:dyDescent="0.25">
      <c r="A318"/>
      <c r="B318"/>
      <c r="C318"/>
      <c r="D318"/>
      <c r="E318"/>
      <c r="F318"/>
      <c r="G318"/>
      <c r="H318"/>
    </row>
    <row r="319" spans="1:8" x14ac:dyDescent="0.25">
      <c r="A319"/>
      <c r="B319"/>
      <c r="C319"/>
      <c r="D319"/>
      <c r="E319"/>
      <c r="F319"/>
      <c r="G319"/>
      <c r="H319"/>
    </row>
    <row r="320" spans="1:8" x14ac:dyDescent="0.25">
      <c r="A320"/>
      <c r="B320"/>
      <c r="C320"/>
      <c r="D320"/>
      <c r="E320"/>
      <c r="F320"/>
      <c r="G320"/>
      <c r="H320"/>
    </row>
    <row r="321" spans="1:8" x14ac:dyDescent="0.25">
      <c r="A321"/>
      <c r="B321"/>
      <c r="C321"/>
      <c r="D321"/>
      <c r="E321"/>
      <c r="F321"/>
      <c r="G321"/>
      <c r="H321"/>
    </row>
    <row r="322" spans="1:8" x14ac:dyDescent="0.25">
      <c r="A322"/>
      <c r="B322"/>
      <c r="C322"/>
      <c r="D322"/>
      <c r="E322"/>
      <c r="F322"/>
      <c r="G322"/>
      <c r="H322"/>
    </row>
    <row r="323" spans="1:8" x14ac:dyDescent="0.25">
      <c r="A323"/>
      <c r="B323"/>
      <c r="C323"/>
      <c r="D323"/>
      <c r="E323"/>
      <c r="F323"/>
      <c r="G323"/>
      <c r="H323"/>
    </row>
    <row r="324" spans="1:8" x14ac:dyDescent="0.25">
      <c r="A324"/>
      <c r="B324"/>
      <c r="C324"/>
      <c r="D324"/>
      <c r="E324"/>
      <c r="F324"/>
      <c r="G324"/>
      <c r="H324"/>
    </row>
    <row r="325" spans="1:8" x14ac:dyDescent="0.25">
      <c r="A325"/>
      <c r="B325"/>
      <c r="C325"/>
      <c r="D325"/>
      <c r="E325"/>
      <c r="F325"/>
      <c r="G325"/>
      <c r="H325"/>
    </row>
    <row r="326" spans="1:8" x14ac:dyDescent="0.25">
      <c r="A326"/>
      <c r="B326"/>
      <c r="C326"/>
      <c r="D326"/>
      <c r="E326"/>
      <c r="F326"/>
      <c r="G326"/>
      <c r="H326"/>
    </row>
    <row r="327" spans="1:8" x14ac:dyDescent="0.25">
      <c r="A327"/>
      <c r="B327"/>
      <c r="C327"/>
      <c r="D327"/>
      <c r="E327"/>
      <c r="F327"/>
      <c r="G327"/>
      <c r="H327"/>
    </row>
    <row r="328" spans="1:8" x14ac:dyDescent="0.25">
      <c r="A328"/>
      <c r="B328"/>
      <c r="C328"/>
      <c r="D328"/>
      <c r="E328"/>
      <c r="F328"/>
      <c r="G328"/>
      <c r="H328"/>
    </row>
    <row r="329" spans="1:8" x14ac:dyDescent="0.25">
      <c r="A329"/>
      <c r="B329"/>
      <c r="C329"/>
      <c r="D329"/>
      <c r="E329"/>
      <c r="F329"/>
      <c r="G329"/>
      <c r="H329"/>
    </row>
    <row r="330" spans="1:8" x14ac:dyDescent="0.25">
      <c r="A330"/>
      <c r="B330"/>
      <c r="C330"/>
      <c r="D330"/>
      <c r="E330"/>
      <c r="F330"/>
      <c r="G330"/>
      <c r="H330"/>
    </row>
    <row r="331" spans="1:8" x14ac:dyDescent="0.25">
      <c r="A331"/>
      <c r="B331"/>
      <c r="C331"/>
      <c r="D331"/>
      <c r="E331"/>
      <c r="F331"/>
      <c r="G331"/>
      <c r="H331"/>
    </row>
    <row r="332" spans="1:8" x14ac:dyDescent="0.25">
      <c r="A332"/>
      <c r="B332"/>
      <c r="C332"/>
      <c r="D332"/>
      <c r="E332"/>
      <c r="F332"/>
      <c r="G332"/>
      <c r="H332"/>
    </row>
    <row r="333" spans="1:8" x14ac:dyDescent="0.25">
      <c r="A333"/>
      <c r="B333"/>
      <c r="C333"/>
      <c r="D333"/>
      <c r="E333"/>
      <c r="F333"/>
      <c r="G333"/>
      <c r="H333"/>
    </row>
    <row r="334" spans="1:8" x14ac:dyDescent="0.25">
      <c r="A334"/>
      <c r="B334"/>
      <c r="C334"/>
      <c r="D334"/>
      <c r="E334"/>
      <c r="F334"/>
      <c r="G334"/>
      <c r="H334"/>
    </row>
    <row r="335" spans="1:8" x14ac:dyDescent="0.25">
      <c r="A335"/>
      <c r="B335"/>
      <c r="C335"/>
      <c r="D335"/>
      <c r="E335"/>
      <c r="F335"/>
      <c r="G335"/>
      <c r="H335"/>
    </row>
    <row r="336" spans="1:8" x14ac:dyDescent="0.25">
      <c r="A336"/>
      <c r="B336"/>
      <c r="C336"/>
      <c r="D336"/>
      <c r="E336"/>
      <c r="F336"/>
      <c r="G336"/>
      <c r="H336"/>
    </row>
    <row r="337" spans="1:8" x14ac:dyDescent="0.25">
      <c r="A337"/>
      <c r="B337"/>
      <c r="C337"/>
      <c r="D337"/>
      <c r="E337"/>
      <c r="F337"/>
      <c r="G337"/>
      <c r="H337"/>
    </row>
    <row r="338" spans="1:8" x14ac:dyDescent="0.25">
      <c r="A338"/>
      <c r="B338"/>
      <c r="C338"/>
      <c r="D338"/>
      <c r="E338"/>
      <c r="F338"/>
      <c r="G338"/>
      <c r="H338"/>
    </row>
    <row r="339" spans="1:8" x14ac:dyDescent="0.25">
      <c r="A339"/>
      <c r="B339"/>
      <c r="C339"/>
      <c r="D339"/>
      <c r="E339"/>
      <c r="F339"/>
      <c r="G339"/>
      <c r="H339"/>
    </row>
    <row r="340" spans="1:8" x14ac:dyDescent="0.25">
      <c r="A340"/>
      <c r="B340"/>
      <c r="C340"/>
      <c r="D340"/>
      <c r="E340"/>
      <c r="F340"/>
      <c r="G340"/>
      <c r="H340"/>
    </row>
    <row r="341" spans="1:8" x14ac:dyDescent="0.25">
      <c r="A341"/>
      <c r="B341"/>
      <c r="C341"/>
      <c r="D341"/>
      <c r="E341"/>
      <c r="F341"/>
      <c r="G341"/>
      <c r="H341"/>
    </row>
    <row r="342" spans="1:8" x14ac:dyDescent="0.25">
      <c r="A342"/>
      <c r="B342"/>
      <c r="C342"/>
      <c r="D342"/>
      <c r="E342"/>
      <c r="F342"/>
      <c r="G342"/>
      <c r="H342"/>
    </row>
    <row r="343" spans="1:8" x14ac:dyDescent="0.25">
      <c r="A343"/>
      <c r="B343"/>
      <c r="C343"/>
      <c r="D343"/>
      <c r="E343"/>
      <c r="F343"/>
      <c r="G343"/>
      <c r="H343"/>
    </row>
    <row r="344" spans="1:8" x14ac:dyDescent="0.25">
      <c r="A344"/>
      <c r="B344"/>
      <c r="C344"/>
      <c r="D344"/>
      <c r="E344"/>
      <c r="F344"/>
      <c r="G344"/>
      <c r="H344"/>
    </row>
    <row r="345" spans="1:8" x14ac:dyDescent="0.25">
      <c r="A345"/>
      <c r="B345"/>
      <c r="C345"/>
      <c r="D345"/>
      <c r="E345"/>
      <c r="F345"/>
      <c r="G345"/>
      <c r="H345"/>
    </row>
    <row r="346" spans="1:8" x14ac:dyDescent="0.25">
      <c r="A346"/>
      <c r="B346"/>
      <c r="C346"/>
      <c r="D346"/>
      <c r="E346"/>
      <c r="F346"/>
      <c r="G346"/>
      <c r="H346"/>
    </row>
    <row r="347" spans="1:8" x14ac:dyDescent="0.25">
      <c r="A347"/>
      <c r="B347"/>
      <c r="C347"/>
      <c r="D347"/>
      <c r="E347"/>
      <c r="F347"/>
      <c r="G347"/>
      <c r="H347"/>
    </row>
    <row r="348" spans="1:8" x14ac:dyDescent="0.25">
      <c r="A348"/>
      <c r="B348"/>
      <c r="C348"/>
      <c r="D348"/>
      <c r="E348"/>
      <c r="F348"/>
      <c r="G348"/>
      <c r="H348"/>
    </row>
    <row r="349" spans="1:8" x14ac:dyDescent="0.25">
      <c r="A349"/>
      <c r="B349"/>
      <c r="C349"/>
      <c r="D349"/>
      <c r="E349"/>
      <c r="F349"/>
      <c r="G349"/>
      <c r="H349"/>
    </row>
    <row r="350" spans="1:8" x14ac:dyDescent="0.25">
      <c r="A350"/>
      <c r="B350"/>
      <c r="C350"/>
      <c r="D350"/>
      <c r="E350"/>
      <c r="F350"/>
      <c r="G350"/>
      <c r="H350"/>
    </row>
    <row r="351" spans="1:8" x14ac:dyDescent="0.25">
      <c r="A351"/>
      <c r="B351"/>
      <c r="C351"/>
      <c r="D351"/>
      <c r="E351"/>
      <c r="F351"/>
      <c r="G351"/>
      <c r="H351"/>
    </row>
    <row r="352" spans="1:8" x14ac:dyDescent="0.25">
      <c r="A352"/>
      <c r="B352"/>
      <c r="C352"/>
      <c r="D352"/>
      <c r="E352"/>
      <c r="F352"/>
      <c r="G352"/>
      <c r="H352"/>
    </row>
    <row r="353" spans="1:8" x14ac:dyDescent="0.25">
      <c r="A353"/>
      <c r="B353"/>
      <c r="C353"/>
      <c r="D353"/>
      <c r="E353"/>
      <c r="F353"/>
      <c r="G353"/>
      <c r="H353"/>
    </row>
    <row r="354" spans="1:8" x14ac:dyDescent="0.25">
      <c r="A354"/>
      <c r="B354"/>
      <c r="C354"/>
      <c r="D354"/>
      <c r="E354"/>
      <c r="F354"/>
      <c r="G354"/>
      <c r="H354"/>
    </row>
    <row r="355" spans="1:8" x14ac:dyDescent="0.25">
      <c r="A355"/>
      <c r="B355"/>
      <c r="C355"/>
      <c r="D355"/>
      <c r="E355"/>
      <c r="F355"/>
      <c r="G355"/>
      <c r="H355"/>
    </row>
    <row r="356" spans="1:8" x14ac:dyDescent="0.25">
      <c r="A356"/>
      <c r="B356"/>
      <c r="C356"/>
      <c r="D356"/>
      <c r="E356"/>
      <c r="F356"/>
      <c r="G356"/>
      <c r="H356"/>
    </row>
    <row r="357" spans="1:8" x14ac:dyDescent="0.25">
      <c r="A357"/>
      <c r="B357"/>
      <c r="C357"/>
      <c r="D357"/>
      <c r="E357"/>
      <c r="F357"/>
      <c r="G357"/>
      <c r="H357"/>
    </row>
    <row r="358" spans="1:8" x14ac:dyDescent="0.25">
      <c r="A358"/>
      <c r="B358"/>
      <c r="C358"/>
      <c r="D358"/>
      <c r="E358"/>
      <c r="F358"/>
      <c r="G358"/>
      <c r="H358"/>
    </row>
    <row r="359" spans="1:8" x14ac:dyDescent="0.25">
      <c r="A359"/>
      <c r="B359"/>
      <c r="C359"/>
      <c r="D359"/>
      <c r="E359"/>
      <c r="F359"/>
      <c r="G359"/>
      <c r="H359"/>
    </row>
    <row r="360" spans="1:8" x14ac:dyDescent="0.25">
      <c r="A360"/>
      <c r="B360"/>
      <c r="C360"/>
      <c r="D360"/>
      <c r="E360"/>
      <c r="F360"/>
      <c r="G360"/>
      <c r="H360"/>
    </row>
    <row r="361" spans="1:8" x14ac:dyDescent="0.25">
      <c r="A361"/>
      <c r="B361"/>
      <c r="C361"/>
      <c r="D361"/>
      <c r="E361"/>
      <c r="F361"/>
      <c r="G361"/>
      <c r="H361"/>
    </row>
    <row r="362" spans="1:8" x14ac:dyDescent="0.25">
      <c r="A362"/>
      <c r="B362"/>
      <c r="C362"/>
      <c r="D362"/>
      <c r="E362"/>
      <c r="F362"/>
      <c r="G362"/>
      <c r="H362"/>
    </row>
    <row r="363" spans="1:8" x14ac:dyDescent="0.25">
      <c r="A363"/>
      <c r="B363"/>
      <c r="C363"/>
      <c r="D363"/>
      <c r="E363"/>
      <c r="F363"/>
      <c r="G363"/>
      <c r="H363"/>
    </row>
    <row r="364" spans="1:8" x14ac:dyDescent="0.25">
      <c r="A364"/>
      <c r="B364"/>
      <c r="C364"/>
      <c r="D364"/>
      <c r="E364"/>
      <c r="F364"/>
      <c r="G364"/>
      <c r="H364"/>
    </row>
    <row r="365" spans="1:8" x14ac:dyDescent="0.25">
      <c r="A365"/>
      <c r="B365"/>
      <c r="C365"/>
      <c r="D365"/>
      <c r="E365"/>
      <c r="F365"/>
      <c r="G365"/>
      <c r="H365"/>
    </row>
    <row r="366" spans="1:8" x14ac:dyDescent="0.25">
      <c r="A366"/>
      <c r="B366"/>
      <c r="C366"/>
      <c r="D366"/>
      <c r="E366"/>
      <c r="F366"/>
      <c r="G366"/>
      <c r="H366"/>
    </row>
    <row r="367" spans="1:8" x14ac:dyDescent="0.25">
      <c r="A367"/>
      <c r="B367"/>
      <c r="C367"/>
      <c r="D367"/>
      <c r="E367"/>
      <c r="F367"/>
      <c r="G367"/>
      <c r="H367"/>
    </row>
    <row r="368" spans="1:8" x14ac:dyDescent="0.25">
      <c r="A368"/>
      <c r="B368"/>
      <c r="C368"/>
      <c r="D368"/>
      <c r="E368"/>
      <c r="F368"/>
      <c r="G368"/>
      <c r="H368"/>
    </row>
    <row r="369" spans="1:8" x14ac:dyDescent="0.25">
      <c r="A369"/>
      <c r="B369"/>
      <c r="C369"/>
      <c r="D369"/>
      <c r="E369"/>
      <c r="F369"/>
      <c r="G369"/>
      <c r="H369"/>
    </row>
    <row r="370" spans="1:8" x14ac:dyDescent="0.25">
      <c r="A370"/>
      <c r="B370"/>
      <c r="C370"/>
      <c r="D370"/>
      <c r="E370"/>
      <c r="F370"/>
      <c r="G370"/>
      <c r="H370"/>
    </row>
    <row r="371" spans="1:8" x14ac:dyDescent="0.25">
      <c r="A371"/>
      <c r="B371"/>
      <c r="C371"/>
      <c r="D371"/>
      <c r="E371"/>
      <c r="F371"/>
      <c r="G371"/>
      <c r="H371"/>
    </row>
    <row r="372" spans="1:8" x14ac:dyDescent="0.25">
      <c r="A372"/>
      <c r="B372"/>
      <c r="C372"/>
      <c r="D372"/>
      <c r="E372"/>
      <c r="F372"/>
      <c r="G372"/>
      <c r="H372"/>
    </row>
    <row r="373" spans="1:8" x14ac:dyDescent="0.25">
      <c r="A373"/>
      <c r="B373"/>
      <c r="C373"/>
      <c r="D373"/>
      <c r="E373"/>
      <c r="F373"/>
      <c r="G373"/>
      <c r="H373"/>
    </row>
    <row r="374" spans="1:8" x14ac:dyDescent="0.25">
      <c r="A374"/>
      <c r="B374"/>
      <c r="C374"/>
      <c r="D374"/>
      <c r="E374"/>
      <c r="F374"/>
      <c r="G374"/>
      <c r="H374"/>
    </row>
    <row r="375" spans="1:8" x14ac:dyDescent="0.25">
      <c r="A375"/>
      <c r="B375"/>
      <c r="C375"/>
      <c r="D375"/>
      <c r="E375"/>
      <c r="F375"/>
      <c r="G375"/>
      <c r="H375"/>
    </row>
    <row r="376" spans="1:8" x14ac:dyDescent="0.25">
      <c r="A376"/>
      <c r="B376"/>
      <c r="C376"/>
      <c r="D376"/>
      <c r="E376"/>
      <c r="F376"/>
      <c r="G376"/>
      <c r="H376"/>
    </row>
    <row r="377" spans="1:8" x14ac:dyDescent="0.25">
      <c r="A377"/>
      <c r="B377"/>
      <c r="C377"/>
      <c r="D377"/>
      <c r="E377"/>
      <c r="F377"/>
      <c r="G377"/>
      <c r="H377"/>
    </row>
    <row r="378" spans="1:8" x14ac:dyDescent="0.25">
      <c r="A378"/>
      <c r="B378"/>
      <c r="C378"/>
      <c r="D378"/>
      <c r="E378"/>
      <c r="F378"/>
      <c r="G378"/>
      <c r="H378"/>
    </row>
    <row r="379" spans="1:8" x14ac:dyDescent="0.25">
      <c r="A379"/>
      <c r="B379"/>
      <c r="C379"/>
      <c r="D379"/>
      <c r="E379"/>
      <c r="F379"/>
      <c r="G379"/>
      <c r="H379"/>
    </row>
    <row r="380" spans="1:8" x14ac:dyDescent="0.25">
      <c r="A380"/>
      <c r="B380"/>
      <c r="C380"/>
      <c r="D380"/>
      <c r="E380"/>
      <c r="F380"/>
      <c r="G380"/>
      <c r="H380"/>
    </row>
    <row r="381" spans="1:8" x14ac:dyDescent="0.25">
      <c r="A381"/>
      <c r="B381"/>
      <c r="C381"/>
      <c r="D381"/>
      <c r="E381"/>
      <c r="F381"/>
      <c r="G381"/>
      <c r="H381"/>
    </row>
    <row r="382" spans="1:8" x14ac:dyDescent="0.25">
      <c r="A382"/>
      <c r="B382"/>
      <c r="C382"/>
      <c r="D382"/>
      <c r="E382"/>
      <c r="F382"/>
      <c r="G382"/>
      <c r="H382"/>
    </row>
    <row r="383" spans="1:8" x14ac:dyDescent="0.25">
      <c r="A383"/>
      <c r="B383"/>
      <c r="C383"/>
      <c r="D383"/>
      <c r="E383"/>
      <c r="F383"/>
      <c r="G383"/>
      <c r="H383"/>
    </row>
    <row r="384" spans="1:8" x14ac:dyDescent="0.25">
      <c r="A384"/>
      <c r="B384"/>
      <c r="C384"/>
      <c r="D384"/>
      <c r="E384"/>
      <c r="F384"/>
      <c r="G384"/>
      <c r="H384"/>
    </row>
    <row r="385" spans="1:8" x14ac:dyDescent="0.25">
      <c r="A385"/>
      <c r="B385"/>
      <c r="C385"/>
      <c r="D385"/>
      <c r="E385"/>
      <c r="F385"/>
      <c r="G385"/>
      <c r="H385"/>
    </row>
    <row r="386" spans="1:8" x14ac:dyDescent="0.25">
      <c r="A386"/>
      <c r="B386"/>
      <c r="C386"/>
      <c r="D386"/>
      <c r="E386"/>
      <c r="F386"/>
      <c r="G386"/>
      <c r="H386"/>
    </row>
    <row r="387" spans="1:8" x14ac:dyDescent="0.25">
      <c r="A387"/>
      <c r="B387"/>
      <c r="C387"/>
      <c r="D387"/>
      <c r="E387"/>
      <c r="F387"/>
      <c r="G387"/>
      <c r="H387"/>
    </row>
    <row r="388" spans="1:8" x14ac:dyDescent="0.25">
      <c r="A388"/>
      <c r="B388"/>
      <c r="C388"/>
      <c r="D388"/>
      <c r="E388"/>
      <c r="F388"/>
      <c r="G388"/>
      <c r="H388"/>
    </row>
    <row r="389" spans="1:8" x14ac:dyDescent="0.25">
      <c r="A389"/>
      <c r="B389"/>
      <c r="C389"/>
      <c r="D389"/>
      <c r="E389"/>
      <c r="F389"/>
      <c r="G389"/>
      <c r="H389"/>
    </row>
    <row r="390" spans="1:8" x14ac:dyDescent="0.25">
      <c r="A390"/>
      <c r="B390"/>
      <c r="C390"/>
      <c r="D390"/>
      <c r="E390"/>
      <c r="F390"/>
      <c r="G390"/>
      <c r="H390"/>
    </row>
    <row r="391" spans="1:8" x14ac:dyDescent="0.25">
      <c r="A391"/>
      <c r="B391"/>
      <c r="C391"/>
      <c r="D391"/>
      <c r="E391"/>
      <c r="F391"/>
      <c r="G391"/>
      <c r="H391"/>
    </row>
    <row r="392" spans="1:8" x14ac:dyDescent="0.25">
      <c r="A392"/>
      <c r="B392"/>
      <c r="C392"/>
      <c r="D392"/>
      <c r="E392"/>
      <c r="F392"/>
      <c r="G392"/>
      <c r="H392"/>
    </row>
    <row r="393" spans="1:8" x14ac:dyDescent="0.25">
      <c r="A393"/>
      <c r="B393"/>
      <c r="C393"/>
      <c r="D393"/>
      <c r="E393"/>
      <c r="F393"/>
      <c r="G393"/>
      <c r="H393"/>
    </row>
    <row r="394" spans="1:8" x14ac:dyDescent="0.25">
      <c r="A394"/>
      <c r="B394"/>
      <c r="C394"/>
      <c r="D394"/>
      <c r="E394"/>
      <c r="F394"/>
      <c r="G394"/>
      <c r="H394"/>
    </row>
    <row r="395" spans="1:8" x14ac:dyDescent="0.25">
      <c r="A395"/>
      <c r="B395"/>
      <c r="C395"/>
      <c r="D395"/>
      <c r="E395"/>
      <c r="F395"/>
      <c r="G395"/>
      <c r="H395"/>
    </row>
    <row r="396" spans="1:8" x14ac:dyDescent="0.25">
      <c r="A396"/>
      <c r="B396"/>
      <c r="C396"/>
      <c r="D396"/>
      <c r="E396"/>
      <c r="F396"/>
      <c r="G396"/>
      <c r="H396"/>
    </row>
    <row r="397" spans="1:8" x14ac:dyDescent="0.25">
      <c r="A397"/>
      <c r="B397"/>
      <c r="C397"/>
      <c r="D397"/>
      <c r="E397"/>
      <c r="F397"/>
      <c r="G397"/>
      <c r="H397"/>
    </row>
    <row r="398" spans="1:8" x14ac:dyDescent="0.25">
      <c r="A398"/>
      <c r="B398"/>
      <c r="C398"/>
      <c r="D398"/>
      <c r="E398"/>
      <c r="F398"/>
      <c r="G398"/>
      <c r="H398"/>
    </row>
    <row r="399" spans="1:8" x14ac:dyDescent="0.25">
      <c r="A399"/>
      <c r="B399"/>
      <c r="C399"/>
      <c r="D399"/>
      <c r="E399"/>
      <c r="F399"/>
      <c r="G399"/>
      <c r="H399"/>
    </row>
    <row r="400" spans="1:8" x14ac:dyDescent="0.25">
      <c r="A400"/>
      <c r="B400"/>
      <c r="C400"/>
      <c r="D400"/>
      <c r="E400"/>
      <c r="F400"/>
      <c r="G400"/>
      <c r="H400"/>
    </row>
    <row r="401" spans="1:8" x14ac:dyDescent="0.25">
      <c r="A401"/>
      <c r="B401"/>
      <c r="C401"/>
      <c r="D401"/>
      <c r="E401"/>
      <c r="F401"/>
      <c r="G401"/>
      <c r="H401"/>
    </row>
    <row r="402" spans="1:8" x14ac:dyDescent="0.25">
      <c r="A402"/>
      <c r="B402"/>
      <c r="C402"/>
      <c r="D402"/>
      <c r="E402"/>
      <c r="F402"/>
      <c r="G402"/>
      <c r="H402"/>
    </row>
    <row r="403" spans="1:8" x14ac:dyDescent="0.25">
      <c r="A403"/>
      <c r="B403"/>
      <c r="C403"/>
      <c r="D403"/>
      <c r="E403"/>
      <c r="F403"/>
      <c r="G403"/>
      <c r="H403"/>
    </row>
    <row r="404" spans="1:8" x14ac:dyDescent="0.25">
      <c r="A404"/>
      <c r="B404"/>
      <c r="C404"/>
      <c r="D404"/>
      <c r="E404"/>
      <c r="F404"/>
      <c r="G404"/>
      <c r="H404"/>
    </row>
    <row r="405" spans="1:8" x14ac:dyDescent="0.25">
      <c r="A405"/>
      <c r="B405"/>
      <c r="C405"/>
      <c r="D405"/>
      <c r="E405"/>
      <c r="F405"/>
      <c r="G405"/>
      <c r="H405"/>
    </row>
    <row r="406" spans="1:8" x14ac:dyDescent="0.25">
      <c r="A406"/>
      <c r="B406"/>
      <c r="C406"/>
      <c r="D406"/>
      <c r="E406"/>
      <c r="F406"/>
      <c r="G406"/>
      <c r="H406"/>
    </row>
    <row r="407" spans="1:8" x14ac:dyDescent="0.25">
      <c r="A407"/>
      <c r="B407"/>
      <c r="C407"/>
      <c r="D407"/>
      <c r="E407"/>
      <c r="F407"/>
      <c r="G407"/>
      <c r="H407"/>
    </row>
    <row r="408" spans="1:8" x14ac:dyDescent="0.25">
      <c r="A408"/>
      <c r="B408"/>
      <c r="C408"/>
      <c r="D408"/>
      <c r="E408"/>
      <c r="F408"/>
      <c r="G408"/>
      <c r="H408"/>
    </row>
    <row r="409" spans="1:8" x14ac:dyDescent="0.25">
      <c r="A409"/>
      <c r="B409"/>
      <c r="C409"/>
      <c r="D409"/>
      <c r="E409"/>
      <c r="F409"/>
      <c r="G409"/>
      <c r="H409"/>
    </row>
    <row r="410" spans="1:8" x14ac:dyDescent="0.25">
      <c r="A410"/>
      <c r="B410"/>
      <c r="C410"/>
      <c r="D410"/>
      <c r="E410"/>
      <c r="F410"/>
      <c r="G410"/>
      <c r="H410"/>
    </row>
    <row r="411" spans="1:8" x14ac:dyDescent="0.25">
      <c r="A411"/>
      <c r="B411"/>
      <c r="C411"/>
      <c r="D411"/>
      <c r="E411"/>
      <c r="F411"/>
      <c r="G411"/>
      <c r="H411"/>
    </row>
    <row r="412" spans="1:8" x14ac:dyDescent="0.25">
      <c r="A412"/>
      <c r="B412"/>
      <c r="C412"/>
      <c r="D412"/>
      <c r="E412"/>
      <c r="F412"/>
      <c r="G412"/>
      <c r="H412"/>
    </row>
    <row r="413" spans="1:8" x14ac:dyDescent="0.25">
      <c r="A413"/>
      <c r="B413"/>
      <c r="C413"/>
      <c r="D413"/>
      <c r="E413"/>
      <c r="F413"/>
      <c r="G413"/>
      <c r="H413"/>
    </row>
    <row r="414" spans="1:8" x14ac:dyDescent="0.25">
      <c r="A414"/>
      <c r="B414"/>
      <c r="C414"/>
      <c r="D414"/>
      <c r="E414"/>
      <c r="F414"/>
      <c r="G414"/>
      <c r="H414"/>
    </row>
    <row r="415" spans="1:8" x14ac:dyDescent="0.25">
      <c r="A415"/>
      <c r="B415"/>
      <c r="C415"/>
      <c r="D415"/>
      <c r="E415"/>
      <c r="F415"/>
      <c r="G415"/>
      <c r="H415"/>
    </row>
    <row r="416" spans="1:8" x14ac:dyDescent="0.25">
      <c r="A416"/>
      <c r="B416"/>
      <c r="C416"/>
      <c r="D416"/>
      <c r="E416"/>
      <c r="F416"/>
      <c r="G416"/>
      <c r="H416"/>
    </row>
    <row r="417" spans="1:8" x14ac:dyDescent="0.25">
      <c r="A417"/>
      <c r="B417"/>
      <c r="C417"/>
      <c r="D417"/>
      <c r="E417"/>
      <c r="F417"/>
      <c r="G417"/>
      <c r="H417"/>
    </row>
    <row r="418" spans="1:8" x14ac:dyDescent="0.25">
      <c r="A418"/>
      <c r="B418"/>
      <c r="C418"/>
      <c r="D418"/>
      <c r="E418"/>
      <c r="F418"/>
      <c r="G418"/>
      <c r="H418"/>
    </row>
    <row r="419" spans="1:8" x14ac:dyDescent="0.25">
      <c r="A419"/>
      <c r="B419"/>
      <c r="C419"/>
      <c r="D419"/>
      <c r="E419"/>
      <c r="F419"/>
      <c r="G419"/>
      <c r="H419"/>
    </row>
    <row r="420" spans="1:8" x14ac:dyDescent="0.25">
      <c r="A420"/>
      <c r="B420"/>
      <c r="C420"/>
      <c r="D420"/>
      <c r="E420"/>
      <c r="F420"/>
      <c r="G420"/>
      <c r="H420"/>
    </row>
    <row r="421" spans="1:8" x14ac:dyDescent="0.25">
      <c r="A421"/>
      <c r="B421"/>
      <c r="C421"/>
      <c r="D421"/>
      <c r="E421"/>
      <c r="F421"/>
      <c r="G421"/>
      <c r="H421"/>
    </row>
    <row r="422" spans="1:8" x14ac:dyDescent="0.25">
      <c r="A422"/>
      <c r="B422"/>
      <c r="C422"/>
      <c r="D422"/>
      <c r="E422"/>
      <c r="F422"/>
      <c r="G422"/>
      <c r="H422"/>
    </row>
    <row r="423" spans="1:8" x14ac:dyDescent="0.25">
      <c r="A423"/>
      <c r="B423"/>
      <c r="C423"/>
      <c r="D423"/>
      <c r="E423"/>
      <c r="F423"/>
      <c r="G423"/>
      <c r="H423"/>
    </row>
    <row r="424" spans="1:8" x14ac:dyDescent="0.25">
      <c r="A424"/>
      <c r="B424"/>
      <c r="C424"/>
      <c r="D424"/>
      <c r="E424"/>
      <c r="F424"/>
      <c r="G424"/>
      <c r="H424"/>
    </row>
    <row r="425" spans="1:8" x14ac:dyDescent="0.25">
      <c r="A425"/>
      <c r="B425"/>
      <c r="C425"/>
      <c r="D425"/>
      <c r="E425"/>
      <c r="F425"/>
      <c r="G425"/>
      <c r="H425"/>
    </row>
    <row r="426" spans="1:8" x14ac:dyDescent="0.25">
      <c r="A426"/>
      <c r="B426"/>
      <c r="C426"/>
      <c r="D426"/>
      <c r="E426"/>
      <c r="F426"/>
      <c r="G426"/>
      <c r="H426"/>
    </row>
    <row r="427" spans="1:8" x14ac:dyDescent="0.25">
      <c r="A427"/>
      <c r="B427"/>
      <c r="C427"/>
      <c r="D427"/>
      <c r="E427"/>
      <c r="F427"/>
      <c r="G427"/>
      <c r="H427"/>
    </row>
    <row r="428" spans="1:8" x14ac:dyDescent="0.25">
      <c r="A428"/>
      <c r="B428"/>
      <c r="C428"/>
      <c r="D428"/>
      <c r="E428"/>
      <c r="F428"/>
      <c r="G428"/>
      <c r="H428"/>
    </row>
    <row r="429" spans="1:8" x14ac:dyDescent="0.25">
      <c r="A429"/>
      <c r="B429"/>
      <c r="C429"/>
      <c r="D429"/>
      <c r="E429"/>
      <c r="F429"/>
      <c r="G429"/>
      <c r="H429"/>
    </row>
    <row r="430" spans="1:8" x14ac:dyDescent="0.25">
      <c r="A430"/>
      <c r="B430"/>
      <c r="C430"/>
      <c r="D430"/>
      <c r="E430"/>
      <c r="F430"/>
      <c r="G430"/>
      <c r="H430"/>
    </row>
    <row r="431" spans="1:8" x14ac:dyDescent="0.25">
      <c r="A431"/>
      <c r="B431"/>
      <c r="C431"/>
      <c r="D431"/>
      <c r="E431"/>
      <c r="F431"/>
      <c r="G431"/>
      <c r="H431"/>
    </row>
    <row r="432" spans="1:8" x14ac:dyDescent="0.25">
      <c r="A432"/>
      <c r="B432"/>
      <c r="C432"/>
      <c r="D432"/>
      <c r="E432"/>
      <c r="F432"/>
      <c r="G432"/>
      <c r="H432"/>
    </row>
    <row r="433" spans="1:8" x14ac:dyDescent="0.25">
      <c r="A433"/>
      <c r="B433"/>
      <c r="C433"/>
      <c r="D433"/>
      <c r="E433"/>
      <c r="F433"/>
      <c r="G433"/>
      <c r="H433"/>
    </row>
    <row r="434" spans="1:8" x14ac:dyDescent="0.25">
      <c r="A434"/>
      <c r="B434"/>
      <c r="C434"/>
      <c r="D434"/>
      <c r="E434"/>
      <c r="F434"/>
      <c r="G434"/>
      <c r="H434"/>
    </row>
    <row r="435" spans="1:8" x14ac:dyDescent="0.25">
      <c r="A435"/>
      <c r="B435"/>
      <c r="C435"/>
      <c r="D435"/>
      <c r="E435"/>
      <c r="F435"/>
      <c r="G435"/>
      <c r="H435"/>
    </row>
    <row r="436" spans="1:8" x14ac:dyDescent="0.25">
      <c r="A436"/>
      <c r="B436"/>
      <c r="C436"/>
      <c r="D436"/>
      <c r="E436"/>
      <c r="F436"/>
      <c r="G436"/>
      <c r="H436"/>
    </row>
    <row r="437" spans="1:8" x14ac:dyDescent="0.25">
      <c r="A437"/>
      <c r="B437"/>
      <c r="C437"/>
      <c r="D437"/>
      <c r="E437"/>
      <c r="F437"/>
      <c r="G437"/>
      <c r="H437"/>
    </row>
    <row r="438" spans="1:8" x14ac:dyDescent="0.25">
      <c r="A438"/>
      <c r="B438"/>
      <c r="C438"/>
      <c r="D438"/>
      <c r="E438"/>
      <c r="F438"/>
      <c r="G438"/>
      <c r="H438"/>
    </row>
    <row r="439" spans="1:8" x14ac:dyDescent="0.25">
      <c r="A439"/>
      <c r="B439"/>
      <c r="C439"/>
      <c r="D439"/>
      <c r="E439"/>
      <c r="F439"/>
      <c r="G439"/>
      <c r="H439"/>
    </row>
    <row r="440" spans="1:8" x14ac:dyDescent="0.25">
      <c r="A440"/>
      <c r="B440"/>
      <c r="C440"/>
      <c r="D440"/>
      <c r="E440"/>
      <c r="F440"/>
      <c r="G440"/>
      <c r="H440"/>
    </row>
    <row r="441" spans="1:8" x14ac:dyDescent="0.25">
      <c r="A441"/>
      <c r="B441"/>
      <c r="C441"/>
      <c r="D441"/>
      <c r="E441"/>
      <c r="F441"/>
      <c r="G441"/>
      <c r="H441"/>
    </row>
    <row r="442" spans="1:8" x14ac:dyDescent="0.25">
      <c r="A442"/>
      <c r="B442"/>
      <c r="C442"/>
      <c r="D442"/>
      <c r="E442"/>
      <c r="F442"/>
      <c r="G442"/>
      <c r="H442"/>
    </row>
    <row r="443" spans="1:8" x14ac:dyDescent="0.25">
      <c r="A443"/>
      <c r="B443"/>
      <c r="C443"/>
      <c r="D443"/>
      <c r="E443"/>
      <c r="F443"/>
      <c r="G443"/>
      <c r="H443"/>
    </row>
    <row r="444" spans="1:8" x14ac:dyDescent="0.25">
      <c r="A444"/>
      <c r="B444"/>
      <c r="C444"/>
      <c r="D444"/>
      <c r="E444"/>
      <c r="F444"/>
      <c r="G444"/>
      <c r="H444"/>
    </row>
    <row r="445" spans="1:8" x14ac:dyDescent="0.25">
      <c r="A445"/>
      <c r="B445"/>
      <c r="C445"/>
      <c r="D445"/>
      <c r="E445"/>
      <c r="F445"/>
      <c r="G445"/>
      <c r="H445"/>
    </row>
    <row r="446" spans="1:8" x14ac:dyDescent="0.25">
      <c r="A446"/>
      <c r="B446"/>
      <c r="C446"/>
      <c r="D446"/>
      <c r="E446"/>
      <c r="F446"/>
      <c r="G446"/>
      <c r="H446"/>
    </row>
    <row r="447" spans="1:8" x14ac:dyDescent="0.25">
      <c r="A447"/>
      <c r="B447"/>
      <c r="C447"/>
      <c r="D447"/>
      <c r="E447"/>
      <c r="F447"/>
      <c r="G447"/>
      <c r="H447"/>
    </row>
    <row r="448" spans="1:8" x14ac:dyDescent="0.25">
      <c r="A448"/>
      <c r="B448"/>
      <c r="C448"/>
      <c r="D448"/>
      <c r="E448"/>
      <c r="F448"/>
      <c r="G448"/>
      <c r="H448"/>
    </row>
    <row r="449" spans="1:8" x14ac:dyDescent="0.25">
      <c r="A449"/>
      <c r="B449"/>
      <c r="C449"/>
      <c r="D449"/>
      <c r="E449"/>
      <c r="F449"/>
      <c r="G449"/>
      <c r="H449"/>
    </row>
    <row r="450" spans="1:8" x14ac:dyDescent="0.25">
      <c r="A450"/>
      <c r="B450"/>
      <c r="C450"/>
      <c r="D450"/>
      <c r="E450"/>
      <c r="F450"/>
      <c r="G450"/>
      <c r="H450"/>
    </row>
    <row r="451" spans="1:8" x14ac:dyDescent="0.25">
      <c r="A451"/>
      <c r="B451"/>
      <c r="C451"/>
      <c r="D451"/>
      <c r="E451"/>
      <c r="F451"/>
      <c r="G451"/>
      <c r="H451"/>
    </row>
    <row r="452" spans="1:8" x14ac:dyDescent="0.25">
      <c r="A452"/>
      <c r="B452"/>
      <c r="C452"/>
      <c r="D452"/>
      <c r="E452"/>
      <c r="F452"/>
      <c r="G452"/>
      <c r="H452"/>
    </row>
    <row r="453" spans="1:8" x14ac:dyDescent="0.25">
      <c r="A453"/>
      <c r="B453"/>
      <c r="C453"/>
      <c r="D453"/>
      <c r="E453"/>
      <c r="F453"/>
      <c r="G453"/>
      <c r="H453"/>
    </row>
    <row r="454" spans="1:8" x14ac:dyDescent="0.25">
      <c r="A454"/>
      <c r="B454"/>
      <c r="C454"/>
      <c r="D454"/>
      <c r="E454"/>
      <c r="F454"/>
      <c r="G454"/>
      <c r="H454"/>
    </row>
    <row r="455" spans="1:8" x14ac:dyDescent="0.25">
      <c r="A455"/>
      <c r="B455"/>
      <c r="C455"/>
      <c r="D455"/>
      <c r="E455"/>
      <c r="F455"/>
      <c r="G455"/>
      <c r="H455"/>
    </row>
    <row r="456" spans="1:8" x14ac:dyDescent="0.25">
      <c r="A456"/>
      <c r="B456"/>
      <c r="C456"/>
      <c r="D456"/>
      <c r="E456"/>
      <c r="F456"/>
      <c r="G456"/>
      <c r="H456"/>
    </row>
    <row r="457" spans="1:8" x14ac:dyDescent="0.25">
      <c r="A457"/>
      <c r="B457"/>
      <c r="C457"/>
      <c r="D457"/>
      <c r="E457"/>
      <c r="F457"/>
      <c r="G457"/>
      <c r="H457"/>
    </row>
    <row r="458" spans="1:8" x14ac:dyDescent="0.25">
      <c r="A458"/>
      <c r="B458"/>
      <c r="C458"/>
      <c r="D458"/>
      <c r="E458"/>
      <c r="F458"/>
      <c r="G458"/>
      <c r="H458"/>
    </row>
    <row r="459" spans="1:8" x14ac:dyDescent="0.25">
      <c r="A459"/>
      <c r="B459"/>
      <c r="C459"/>
      <c r="D459"/>
      <c r="E459"/>
      <c r="F459"/>
      <c r="G459"/>
      <c r="H459"/>
    </row>
    <row r="460" spans="1:8" x14ac:dyDescent="0.25">
      <c r="A460"/>
      <c r="B460"/>
      <c r="C460"/>
      <c r="D460"/>
      <c r="E460"/>
      <c r="F460"/>
      <c r="G460"/>
      <c r="H460"/>
    </row>
    <row r="461" spans="1:8" x14ac:dyDescent="0.25">
      <c r="A461"/>
      <c r="B461"/>
      <c r="C461"/>
      <c r="D461"/>
      <c r="E461"/>
      <c r="F461"/>
      <c r="G461"/>
      <c r="H461"/>
    </row>
    <row r="462" spans="1:8" x14ac:dyDescent="0.25">
      <c r="A462"/>
      <c r="B462"/>
      <c r="C462"/>
      <c r="D462"/>
      <c r="E462"/>
      <c r="F462"/>
      <c r="G462"/>
      <c r="H462"/>
    </row>
    <row r="463" spans="1:8" x14ac:dyDescent="0.25">
      <c r="A463"/>
      <c r="B463"/>
      <c r="C463"/>
      <c r="D463"/>
      <c r="E463"/>
      <c r="F463"/>
      <c r="G463"/>
      <c r="H463"/>
    </row>
    <row r="464" spans="1:8" x14ac:dyDescent="0.25">
      <c r="A464"/>
      <c r="B464"/>
      <c r="C464"/>
      <c r="D464"/>
      <c r="E464"/>
      <c r="F464"/>
      <c r="G464"/>
      <c r="H464"/>
    </row>
    <row r="465" spans="1:8" x14ac:dyDescent="0.25">
      <c r="A465"/>
      <c r="B465"/>
      <c r="C465"/>
      <c r="D465"/>
      <c r="E465"/>
      <c r="F465"/>
      <c r="G465"/>
      <c r="H465"/>
    </row>
    <row r="466" spans="1:8" x14ac:dyDescent="0.25">
      <c r="A466"/>
      <c r="B466"/>
      <c r="C466"/>
      <c r="D466"/>
      <c r="E466"/>
      <c r="F466"/>
      <c r="G466"/>
      <c r="H466"/>
    </row>
    <row r="467" spans="1:8" x14ac:dyDescent="0.25">
      <c r="A467"/>
      <c r="B467"/>
      <c r="C467"/>
      <c r="D467"/>
      <c r="E467"/>
      <c r="F467"/>
      <c r="G467"/>
      <c r="H467"/>
    </row>
    <row r="468" spans="1:8" x14ac:dyDescent="0.25">
      <c r="A468"/>
      <c r="B468"/>
      <c r="C468"/>
      <c r="D468"/>
      <c r="E468"/>
      <c r="F468"/>
      <c r="G468"/>
      <c r="H468"/>
    </row>
    <row r="469" spans="1:8" x14ac:dyDescent="0.25">
      <c r="A469"/>
      <c r="B469"/>
      <c r="C469"/>
      <c r="D469"/>
      <c r="E469"/>
      <c r="F469"/>
      <c r="G469"/>
      <c r="H469"/>
    </row>
    <row r="470" spans="1:8" x14ac:dyDescent="0.25">
      <c r="A470"/>
      <c r="B470"/>
      <c r="C470"/>
      <c r="D470"/>
      <c r="E470"/>
      <c r="F470"/>
      <c r="G470"/>
      <c r="H470"/>
    </row>
    <row r="471" spans="1:8" x14ac:dyDescent="0.25">
      <c r="A471"/>
      <c r="B471"/>
      <c r="C471"/>
      <c r="D471"/>
      <c r="E471"/>
      <c r="F471"/>
      <c r="G471"/>
      <c r="H471"/>
    </row>
    <row r="472" spans="1:8" x14ac:dyDescent="0.25">
      <c r="A472"/>
      <c r="B472"/>
      <c r="C472"/>
      <c r="D472"/>
      <c r="E472"/>
      <c r="F472"/>
      <c r="G472"/>
      <c r="H472"/>
    </row>
    <row r="473" spans="1:8" x14ac:dyDescent="0.25">
      <c r="A473"/>
      <c r="B473"/>
      <c r="C473"/>
      <c r="D473"/>
      <c r="E473"/>
      <c r="F473"/>
      <c r="G473"/>
      <c r="H473"/>
    </row>
    <row r="474" spans="1:8" x14ac:dyDescent="0.25">
      <c r="A474"/>
      <c r="B474"/>
      <c r="C474"/>
      <c r="D474"/>
      <c r="E474"/>
      <c r="F474"/>
      <c r="G474"/>
      <c r="H474"/>
    </row>
    <row r="475" spans="1:8" x14ac:dyDescent="0.25">
      <c r="A475"/>
      <c r="B475"/>
      <c r="C475"/>
      <c r="D475"/>
      <c r="E475"/>
      <c r="F475"/>
      <c r="G475"/>
      <c r="H475"/>
    </row>
    <row r="476" spans="1:8" x14ac:dyDescent="0.25">
      <c r="A476"/>
      <c r="B476"/>
      <c r="C476"/>
      <c r="D476"/>
      <c r="E476"/>
      <c r="F476"/>
      <c r="G476"/>
      <c r="H476"/>
    </row>
    <row r="477" spans="1:8" x14ac:dyDescent="0.25">
      <c r="A477"/>
      <c r="B477"/>
      <c r="C477"/>
      <c r="D477"/>
      <c r="E477"/>
      <c r="F477"/>
      <c r="G477"/>
      <c r="H477"/>
    </row>
    <row r="478" spans="1:8" x14ac:dyDescent="0.25">
      <c r="A478"/>
      <c r="B478"/>
      <c r="C478"/>
      <c r="D478"/>
      <c r="E478"/>
      <c r="F478"/>
      <c r="G478"/>
      <c r="H478"/>
    </row>
    <row r="479" spans="1:8" x14ac:dyDescent="0.25">
      <c r="A479"/>
      <c r="B479"/>
      <c r="C479"/>
      <c r="D479"/>
      <c r="E479"/>
      <c r="F479"/>
      <c r="G479"/>
      <c r="H479"/>
    </row>
    <row r="480" spans="1:8" x14ac:dyDescent="0.25">
      <c r="A480"/>
      <c r="B480"/>
      <c r="C480"/>
      <c r="D480"/>
      <c r="E480"/>
      <c r="F480"/>
      <c r="G480"/>
      <c r="H480"/>
    </row>
    <row r="481" spans="1:8" x14ac:dyDescent="0.25">
      <c r="A481"/>
      <c r="B481"/>
      <c r="C481"/>
      <c r="D481"/>
      <c r="E481"/>
      <c r="F481"/>
      <c r="G481"/>
      <c r="H481"/>
    </row>
    <row r="482" spans="1:8" x14ac:dyDescent="0.25">
      <c r="A482"/>
      <c r="B482"/>
      <c r="C482"/>
      <c r="D482"/>
      <c r="E482"/>
      <c r="F482"/>
      <c r="G482"/>
      <c r="H482"/>
    </row>
    <row r="483" spans="1:8" x14ac:dyDescent="0.25">
      <c r="A483"/>
      <c r="B483"/>
      <c r="C483"/>
      <c r="D483"/>
      <c r="E483"/>
      <c r="F483"/>
      <c r="G483"/>
      <c r="H483"/>
    </row>
    <row r="484" spans="1:8" x14ac:dyDescent="0.25">
      <c r="A484"/>
      <c r="B484"/>
      <c r="C484"/>
      <c r="D484"/>
      <c r="E484"/>
      <c r="F484"/>
      <c r="G484"/>
      <c r="H484"/>
    </row>
    <row r="485" spans="1:8" x14ac:dyDescent="0.25">
      <c r="A485"/>
      <c r="B485"/>
      <c r="C485"/>
      <c r="D485"/>
      <c r="E485"/>
      <c r="F485"/>
      <c r="G485"/>
      <c r="H485"/>
    </row>
    <row r="486" spans="1:8" x14ac:dyDescent="0.25">
      <c r="A486"/>
      <c r="B486"/>
      <c r="C486"/>
      <c r="D486"/>
      <c r="E486"/>
      <c r="F486"/>
      <c r="G486"/>
      <c r="H486"/>
    </row>
    <row r="487" spans="1:8" x14ac:dyDescent="0.25">
      <c r="A487"/>
      <c r="B487"/>
      <c r="C487"/>
      <c r="D487"/>
      <c r="E487"/>
      <c r="F487"/>
      <c r="G487"/>
      <c r="H487"/>
    </row>
    <row r="488" spans="1:8" x14ac:dyDescent="0.25">
      <c r="A488"/>
      <c r="B488"/>
      <c r="C488"/>
      <c r="D488"/>
      <c r="E488"/>
      <c r="F488"/>
      <c r="G488"/>
      <c r="H488"/>
    </row>
    <row r="489" spans="1:8" x14ac:dyDescent="0.25">
      <c r="A489"/>
      <c r="B489"/>
      <c r="C489"/>
      <c r="D489"/>
      <c r="E489"/>
      <c r="F489"/>
      <c r="G489"/>
      <c r="H489"/>
    </row>
    <row r="490" spans="1:8" x14ac:dyDescent="0.25">
      <c r="A490"/>
      <c r="B490"/>
      <c r="C490"/>
      <c r="D490"/>
      <c r="E490"/>
      <c r="F490"/>
      <c r="G490"/>
      <c r="H490"/>
    </row>
    <row r="491" spans="1:8" x14ac:dyDescent="0.25">
      <c r="A491"/>
      <c r="B491"/>
      <c r="C491"/>
      <c r="D491"/>
      <c r="E491"/>
      <c r="F491"/>
      <c r="G491"/>
      <c r="H491"/>
    </row>
    <row r="492" spans="1:8" x14ac:dyDescent="0.25">
      <c r="A492"/>
      <c r="B492"/>
      <c r="C492"/>
      <c r="D492"/>
      <c r="E492"/>
      <c r="F492"/>
      <c r="G492"/>
      <c r="H492"/>
    </row>
    <row r="493" spans="1:8" x14ac:dyDescent="0.25">
      <c r="A493"/>
      <c r="B493"/>
      <c r="C493"/>
      <c r="D493"/>
      <c r="E493"/>
      <c r="F493"/>
      <c r="G493"/>
      <c r="H493"/>
    </row>
    <row r="494" spans="1:8" x14ac:dyDescent="0.25">
      <c r="A494"/>
      <c r="B494"/>
      <c r="C494"/>
      <c r="D494"/>
      <c r="E494"/>
      <c r="F494"/>
      <c r="G494"/>
      <c r="H494"/>
    </row>
    <row r="495" spans="1:8" x14ac:dyDescent="0.25">
      <c r="A495"/>
      <c r="B495"/>
      <c r="C495"/>
      <c r="D495"/>
      <c r="E495"/>
      <c r="F495"/>
      <c r="G495"/>
      <c r="H495"/>
    </row>
    <row r="496" spans="1:8" x14ac:dyDescent="0.25">
      <c r="A496"/>
      <c r="B496"/>
      <c r="C496"/>
      <c r="D496"/>
      <c r="E496"/>
      <c r="F496"/>
      <c r="G496"/>
      <c r="H496"/>
    </row>
    <row r="497" spans="1:8" x14ac:dyDescent="0.25">
      <c r="A497"/>
      <c r="B497"/>
      <c r="C497"/>
      <c r="D497"/>
      <c r="E497"/>
      <c r="F497"/>
      <c r="G497"/>
      <c r="H497"/>
    </row>
    <row r="498" spans="1:8" x14ac:dyDescent="0.25">
      <c r="A498"/>
      <c r="B498"/>
      <c r="C498"/>
      <c r="D498"/>
      <c r="E498"/>
      <c r="F498"/>
      <c r="G498"/>
      <c r="H498"/>
    </row>
    <row r="499" spans="1:8" x14ac:dyDescent="0.25">
      <c r="A499"/>
      <c r="B499"/>
      <c r="C499"/>
      <c r="D499"/>
      <c r="E499"/>
      <c r="F499"/>
      <c r="G499"/>
      <c r="H499"/>
    </row>
    <row r="500" spans="1:8" x14ac:dyDescent="0.25">
      <c r="A500"/>
      <c r="B500"/>
      <c r="C500"/>
      <c r="D500"/>
      <c r="E500"/>
      <c r="F500"/>
      <c r="G500"/>
      <c r="H500"/>
    </row>
    <row r="501" spans="1:8" x14ac:dyDescent="0.25">
      <c r="A501"/>
      <c r="B501"/>
      <c r="C501"/>
      <c r="D501"/>
      <c r="E501"/>
      <c r="F501"/>
      <c r="G501"/>
      <c r="H501"/>
    </row>
    <row r="502" spans="1:8" x14ac:dyDescent="0.25">
      <c r="A502"/>
      <c r="B502"/>
      <c r="C502"/>
      <c r="D502"/>
      <c r="E502"/>
      <c r="F502"/>
      <c r="G502"/>
      <c r="H502"/>
    </row>
    <row r="503" spans="1:8" x14ac:dyDescent="0.25">
      <c r="A503"/>
      <c r="B503"/>
      <c r="C503"/>
      <c r="D503"/>
      <c r="E503"/>
      <c r="F503"/>
      <c r="G503"/>
      <c r="H503"/>
    </row>
    <row r="504" spans="1:8" x14ac:dyDescent="0.25">
      <c r="A504"/>
      <c r="B504"/>
      <c r="C504"/>
      <c r="D504"/>
      <c r="E504"/>
      <c r="F504"/>
      <c r="G504"/>
      <c r="H504"/>
    </row>
    <row r="505" spans="1:8" x14ac:dyDescent="0.25">
      <c r="A505"/>
      <c r="B505"/>
      <c r="C505"/>
      <c r="D505"/>
      <c r="E505"/>
      <c r="F505"/>
      <c r="G505"/>
      <c r="H505"/>
    </row>
    <row r="506" spans="1:8" x14ac:dyDescent="0.25">
      <c r="A506"/>
      <c r="B506"/>
      <c r="C506"/>
      <c r="D506"/>
      <c r="E506"/>
      <c r="F506"/>
      <c r="G506"/>
      <c r="H506"/>
    </row>
    <row r="507" spans="1:8" x14ac:dyDescent="0.25">
      <c r="A507"/>
      <c r="B507"/>
      <c r="C507"/>
      <c r="D507"/>
      <c r="E507"/>
      <c r="F507"/>
      <c r="G507"/>
      <c r="H507"/>
    </row>
    <row r="508" spans="1:8" x14ac:dyDescent="0.25">
      <c r="A508"/>
      <c r="B508"/>
      <c r="C508"/>
      <c r="D508"/>
      <c r="E508"/>
      <c r="F508"/>
      <c r="G508"/>
      <c r="H508"/>
    </row>
    <row r="509" spans="1:8" x14ac:dyDescent="0.25">
      <c r="A509"/>
      <c r="B509"/>
      <c r="C509"/>
      <c r="D509"/>
      <c r="E509"/>
      <c r="F509"/>
      <c r="G509"/>
      <c r="H509"/>
    </row>
    <row r="510" spans="1:8" x14ac:dyDescent="0.25">
      <c r="A510"/>
      <c r="B510"/>
      <c r="C510"/>
      <c r="D510"/>
      <c r="E510"/>
      <c r="F510"/>
      <c r="G510"/>
      <c r="H510"/>
    </row>
    <row r="511" spans="1:8" x14ac:dyDescent="0.25">
      <c r="A511"/>
      <c r="B511"/>
      <c r="C511"/>
      <c r="D511"/>
      <c r="E511"/>
      <c r="F511"/>
      <c r="G511"/>
      <c r="H511"/>
    </row>
    <row r="512" spans="1:8" x14ac:dyDescent="0.25">
      <c r="A512"/>
      <c r="B512"/>
      <c r="C512"/>
      <c r="D512"/>
      <c r="E512"/>
      <c r="F512"/>
      <c r="G512"/>
      <c r="H512"/>
    </row>
    <row r="513" spans="1:8" x14ac:dyDescent="0.25">
      <c r="A513"/>
      <c r="B513"/>
      <c r="C513"/>
      <c r="D513"/>
      <c r="E513"/>
      <c r="F513"/>
      <c r="G513"/>
      <c r="H513"/>
    </row>
    <row r="514" spans="1:8" x14ac:dyDescent="0.25">
      <c r="A514"/>
      <c r="B514"/>
      <c r="C514"/>
      <c r="D514"/>
      <c r="E514"/>
      <c r="F514"/>
      <c r="G514"/>
      <c r="H514"/>
    </row>
    <row r="515" spans="1:8" x14ac:dyDescent="0.25">
      <c r="A515"/>
      <c r="B515"/>
      <c r="C515"/>
      <c r="D515"/>
      <c r="E515"/>
      <c r="F515"/>
      <c r="G515"/>
      <c r="H515"/>
    </row>
    <row r="516" spans="1:8" x14ac:dyDescent="0.25">
      <c r="A516"/>
      <c r="B516"/>
      <c r="C516"/>
      <c r="D516"/>
      <c r="E516"/>
      <c r="F516"/>
      <c r="G516"/>
      <c r="H516"/>
    </row>
    <row r="517" spans="1:8" x14ac:dyDescent="0.25">
      <c r="A517"/>
      <c r="B517"/>
      <c r="C517"/>
      <c r="D517"/>
      <c r="E517"/>
      <c r="F517"/>
      <c r="G517"/>
      <c r="H517"/>
    </row>
    <row r="518" spans="1:8" x14ac:dyDescent="0.25">
      <c r="A518"/>
      <c r="B518"/>
      <c r="C518"/>
      <c r="D518"/>
      <c r="E518"/>
      <c r="F518"/>
      <c r="G518"/>
      <c r="H518"/>
    </row>
    <row r="519" spans="1:8" x14ac:dyDescent="0.25">
      <c r="A519"/>
      <c r="B519"/>
      <c r="C519"/>
      <c r="D519"/>
      <c r="E519"/>
      <c r="F519"/>
      <c r="G519"/>
      <c r="H519"/>
    </row>
    <row r="520" spans="1:8" x14ac:dyDescent="0.25">
      <c r="A520"/>
      <c r="B520"/>
      <c r="C520"/>
      <c r="D520"/>
      <c r="E520"/>
      <c r="F520"/>
      <c r="G520"/>
      <c r="H520"/>
    </row>
    <row r="521" spans="1:8" x14ac:dyDescent="0.25">
      <c r="A521"/>
      <c r="B521"/>
      <c r="C521"/>
      <c r="D521"/>
      <c r="E521"/>
      <c r="F521"/>
      <c r="G521"/>
      <c r="H521"/>
    </row>
    <row r="522" spans="1:8" x14ac:dyDescent="0.25">
      <c r="A522"/>
      <c r="B522"/>
      <c r="C522"/>
      <c r="D522"/>
      <c r="E522"/>
      <c r="F522"/>
      <c r="G522"/>
      <c r="H522"/>
    </row>
    <row r="523" spans="1:8" x14ac:dyDescent="0.25">
      <c r="A523"/>
      <c r="B523"/>
      <c r="C523"/>
      <c r="D523"/>
      <c r="E523"/>
      <c r="F523"/>
      <c r="G523"/>
      <c r="H523"/>
    </row>
    <row r="524" spans="1:8" x14ac:dyDescent="0.25">
      <c r="A524"/>
      <c r="B524"/>
      <c r="C524"/>
      <c r="D524"/>
      <c r="E524"/>
      <c r="F524"/>
      <c r="G524"/>
      <c r="H524"/>
    </row>
    <row r="525" spans="1:8" x14ac:dyDescent="0.25">
      <c r="A525"/>
      <c r="B525"/>
      <c r="C525"/>
      <c r="D525"/>
      <c r="E525"/>
      <c r="F525"/>
      <c r="G525"/>
      <c r="H525"/>
    </row>
    <row r="526" spans="1:8" x14ac:dyDescent="0.25">
      <c r="A526"/>
      <c r="B526"/>
      <c r="C526"/>
      <c r="D526"/>
      <c r="E526"/>
      <c r="F526"/>
      <c r="G526"/>
      <c r="H526"/>
    </row>
    <row r="527" spans="1:8" x14ac:dyDescent="0.25">
      <c r="A527"/>
      <c r="B527"/>
      <c r="C527"/>
      <c r="D527"/>
      <c r="E527"/>
      <c r="F527"/>
      <c r="G527"/>
      <c r="H527"/>
    </row>
    <row r="528" spans="1:8" x14ac:dyDescent="0.25">
      <c r="A528"/>
      <c r="B528"/>
      <c r="C528"/>
      <c r="D528"/>
      <c r="E528"/>
      <c r="F528"/>
      <c r="G528"/>
      <c r="H528"/>
    </row>
    <row r="529" spans="1:8" x14ac:dyDescent="0.25">
      <c r="A529"/>
      <c r="B529"/>
      <c r="C529"/>
      <c r="D529"/>
      <c r="E529"/>
      <c r="F529"/>
      <c r="G529"/>
      <c r="H529"/>
    </row>
    <row r="530" spans="1:8" x14ac:dyDescent="0.25">
      <c r="A530"/>
      <c r="B530"/>
      <c r="C530"/>
      <c r="D530"/>
      <c r="E530"/>
      <c r="F530"/>
      <c r="G530"/>
      <c r="H530"/>
    </row>
    <row r="531" spans="1:8" x14ac:dyDescent="0.25">
      <c r="A531"/>
      <c r="B531"/>
      <c r="C531"/>
      <c r="D531"/>
      <c r="E531"/>
      <c r="F531"/>
      <c r="G531"/>
      <c r="H531"/>
    </row>
    <row r="532" spans="1:8" x14ac:dyDescent="0.25">
      <c r="A532"/>
      <c r="B532"/>
      <c r="C532"/>
      <c r="D532"/>
      <c r="E532"/>
      <c r="F532"/>
      <c r="G532"/>
      <c r="H532"/>
    </row>
    <row r="533" spans="1:8" x14ac:dyDescent="0.25">
      <c r="A533"/>
      <c r="B533"/>
      <c r="C533"/>
      <c r="D533"/>
      <c r="E533"/>
      <c r="F533"/>
      <c r="G533"/>
      <c r="H533"/>
    </row>
    <row r="534" spans="1:8" x14ac:dyDescent="0.25">
      <c r="A534"/>
      <c r="B534"/>
      <c r="C534"/>
      <c r="D534"/>
      <c r="E534"/>
      <c r="F534"/>
      <c r="G534"/>
      <c r="H534"/>
    </row>
    <row r="535" spans="1:8" x14ac:dyDescent="0.25">
      <c r="A535"/>
      <c r="B535"/>
      <c r="C535"/>
      <c r="D535"/>
      <c r="E535"/>
      <c r="F535"/>
      <c r="G535"/>
      <c r="H535"/>
    </row>
    <row r="536" spans="1:8" x14ac:dyDescent="0.25">
      <c r="A536"/>
      <c r="B536"/>
      <c r="C536"/>
      <c r="D536"/>
      <c r="E536"/>
      <c r="F536"/>
      <c r="G536"/>
      <c r="H536"/>
    </row>
    <row r="537" spans="1:8" x14ac:dyDescent="0.25">
      <c r="A537"/>
      <c r="B537"/>
      <c r="C537"/>
      <c r="D537"/>
      <c r="E537"/>
      <c r="F537"/>
      <c r="G537"/>
      <c r="H537"/>
    </row>
    <row r="538" spans="1:8" x14ac:dyDescent="0.25">
      <c r="A538"/>
      <c r="B538"/>
      <c r="C538"/>
      <c r="D538"/>
      <c r="E538"/>
      <c r="F538"/>
      <c r="G538"/>
      <c r="H538"/>
    </row>
    <row r="539" spans="1:8" x14ac:dyDescent="0.25">
      <c r="A539"/>
      <c r="B539"/>
      <c r="C539"/>
      <c r="D539"/>
      <c r="E539"/>
      <c r="F539"/>
      <c r="G539"/>
      <c r="H539"/>
    </row>
    <row r="540" spans="1:8" x14ac:dyDescent="0.25">
      <c r="A540"/>
      <c r="B540"/>
      <c r="C540"/>
      <c r="D540"/>
      <c r="E540"/>
      <c r="F540"/>
      <c r="G540"/>
      <c r="H540"/>
    </row>
    <row r="541" spans="1:8" x14ac:dyDescent="0.25">
      <c r="A541"/>
      <c r="B541"/>
      <c r="C541"/>
      <c r="D541"/>
      <c r="E541"/>
      <c r="F541"/>
      <c r="G541"/>
      <c r="H541"/>
    </row>
    <row r="542" spans="1:8" x14ac:dyDescent="0.25">
      <c r="A542"/>
      <c r="B542"/>
      <c r="C542"/>
      <c r="D542"/>
      <c r="E542"/>
      <c r="F542"/>
      <c r="G542"/>
      <c r="H542"/>
    </row>
    <row r="543" spans="1:8" x14ac:dyDescent="0.25">
      <c r="A543"/>
      <c r="B543"/>
      <c r="C543"/>
      <c r="D543"/>
      <c r="E543"/>
      <c r="F543"/>
      <c r="G543"/>
      <c r="H543"/>
    </row>
    <row r="544" spans="1:8" x14ac:dyDescent="0.25">
      <c r="A544"/>
      <c r="B544"/>
      <c r="C544"/>
      <c r="D544"/>
      <c r="E544"/>
      <c r="F544"/>
      <c r="G544"/>
      <c r="H544"/>
    </row>
    <row r="545" spans="1:8" x14ac:dyDescent="0.25">
      <c r="A545"/>
      <c r="B545"/>
      <c r="C545"/>
      <c r="D545"/>
      <c r="E545"/>
      <c r="F545"/>
      <c r="G545"/>
      <c r="H545"/>
    </row>
    <row r="546" spans="1:8" x14ac:dyDescent="0.25">
      <c r="A546"/>
      <c r="B546"/>
      <c r="C546"/>
      <c r="D546"/>
      <c r="E546"/>
      <c r="F546"/>
      <c r="G546"/>
      <c r="H546"/>
    </row>
    <row r="547" spans="1:8" x14ac:dyDescent="0.25">
      <c r="A547"/>
      <c r="B547"/>
      <c r="C547"/>
      <c r="D547"/>
      <c r="E547"/>
      <c r="F547"/>
      <c r="G547"/>
      <c r="H547"/>
    </row>
    <row r="548" spans="1:8" x14ac:dyDescent="0.25">
      <c r="A548"/>
      <c r="B548"/>
      <c r="C548"/>
      <c r="D548"/>
      <c r="E548"/>
      <c r="F548"/>
      <c r="G548"/>
      <c r="H548"/>
    </row>
    <row r="549" spans="1:8" x14ac:dyDescent="0.25">
      <c r="A549"/>
      <c r="B549"/>
      <c r="C549"/>
      <c r="D549"/>
      <c r="E549"/>
      <c r="F549"/>
      <c r="G549"/>
      <c r="H549"/>
    </row>
    <row r="550" spans="1:8" x14ac:dyDescent="0.25">
      <c r="A550"/>
      <c r="B550"/>
      <c r="C550"/>
      <c r="D550"/>
      <c r="E550"/>
      <c r="F550"/>
      <c r="G550"/>
      <c r="H550"/>
    </row>
    <row r="551" spans="1:8" x14ac:dyDescent="0.25">
      <c r="A551"/>
      <c r="B551"/>
      <c r="C551"/>
      <c r="D551"/>
      <c r="E551"/>
      <c r="F551"/>
      <c r="G551"/>
      <c r="H551"/>
    </row>
    <row r="552" spans="1:8" x14ac:dyDescent="0.25">
      <c r="A552"/>
      <c r="B552"/>
      <c r="C552"/>
      <c r="D552"/>
      <c r="E552"/>
      <c r="F552"/>
      <c r="G552"/>
      <c r="H552"/>
    </row>
    <row r="553" spans="1:8" x14ac:dyDescent="0.25">
      <c r="A553"/>
      <c r="B553"/>
      <c r="C553"/>
      <c r="D553"/>
      <c r="E553"/>
      <c r="F553"/>
      <c r="G553"/>
      <c r="H553"/>
    </row>
    <row r="554" spans="1:8" x14ac:dyDescent="0.25">
      <c r="A554"/>
      <c r="B554"/>
      <c r="C554"/>
      <c r="D554"/>
      <c r="E554"/>
      <c r="F554"/>
      <c r="G554"/>
      <c r="H554"/>
    </row>
    <row r="555" spans="1:8" x14ac:dyDescent="0.25">
      <c r="A555"/>
      <c r="B555"/>
      <c r="C555"/>
      <c r="D555"/>
      <c r="E555"/>
      <c r="F555"/>
      <c r="G555"/>
      <c r="H555"/>
    </row>
    <row r="556" spans="1:8" x14ac:dyDescent="0.25">
      <c r="A556"/>
      <c r="B556"/>
      <c r="C556"/>
      <c r="D556"/>
      <c r="E556"/>
      <c r="F556"/>
      <c r="G556"/>
      <c r="H556"/>
    </row>
    <row r="557" spans="1:8" x14ac:dyDescent="0.25">
      <c r="A557"/>
      <c r="B557"/>
      <c r="C557"/>
      <c r="D557"/>
      <c r="E557"/>
      <c r="F557"/>
      <c r="G557"/>
      <c r="H557"/>
    </row>
    <row r="558" spans="1:8" x14ac:dyDescent="0.25">
      <c r="A558"/>
      <c r="B558"/>
      <c r="C558"/>
      <c r="D558"/>
      <c r="E558"/>
      <c r="F558"/>
      <c r="G558"/>
      <c r="H558"/>
    </row>
    <row r="559" spans="1:8" x14ac:dyDescent="0.25">
      <c r="A559"/>
      <c r="B559"/>
      <c r="C559"/>
      <c r="D559"/>
      <c r="E559"/>
      <c r="F559"/>
      <c r="G559"/>
      <c r="H559"/>
    </row>
    <row r="560" spans="1:8" x14ac:dyDescent="0.25">
      <c r="A560"/>
      <c r="B560"/>
      <c r="C560"/>
      <c r="D560"/>
      <c r="E560"/>
      <c r="F560"/>
      <c r="G560"/>
      <c r="H560"/>
    </row>
    <row r="561" spans="1:8" x14ac:dyDescent="0.25">
      <c r="A561"/>
      <c r="B561"/>
      <c r="C561"/>
      <c r="D561"/>
      <c r="E561"/>
      <c r="F561"/>
      <c r="G561"/>
      <c r="H561"/>
    </row>
    <row r="562" spans="1:8" x14ac:dyDescent="0.25">
      <c r="A562"/>
      <c r="B562"/>
      <c r="C562"/>
      <c r="D562"/>
      <c r="E562"/>
      <c r="F562"/>
      <c r="G562"/>
      <c r="H562"/>
    </row>
    <row r="563" spans="1:8" x14ac:dyDescent="0.25">
      <c r="A563"/>
      <c r="B563"/>
      <c r="C563"/>
      <c r="D563"/>
      <c r="E563"/>
      <c r="F563"/>
      <c r="G563"/>
      <c r="H563"/>
    </row>
    <row r="564" spans="1:8" x14ac:dyDescent="0.25">
      <c r="A564"/>
      <c r="B564"/>
      <c r="C564"/>
      <c r="D564"/>
      <c r="E564"/>
      <c r="F564"/>
      <c r="G564"/>
      <c r="H564"/>
    </row>
    <row r="565" spans="1:8" x14ac:dyDescent="0.25">
      <c r="A565"/>
      <c r="B565"/>
      <c r="C565"/>
      <c r="D565"/>
      <c r="E565"/>
      <c r="F565"/>
      <c r="G565"/>
      <c r="H565"/>
    </row>
    <row r="566" spans="1:8" x14ac:dyDescent="0.25">
      <c r="A566"/>
      <c r="B566"/>
      <c r="C566"/>
      <c r="D566"/>
      <c r="E566"/>
      <c r="F566"/>
      <c r="G566"/>
      <c r="H566"/>
    </row>
    <row r="567" spans="1:8" x14ac:dyDescent="0.25">
      <c r="A567"/>
      <c r="B567"/>
      <c r="C567"/>
      <c r="D567"/>
      <c r="E567"/>
      <c r="F567"/>
      <c r="G567"/>
      <c r="H567"/>
    </row>
    <row r="568" spans="1:8" x14ac:dyDescent="0.25">
      <c r="A568"/>
      <c r="B568"/>
      <c r="C568"/>
      <c r="D568"/>
      <c r="E568"/>
      <c r="F568"/>
      <c r="G568"/>
      <c r="H568"/>
    </row>
    <row r="569" spans="1:8" x14ac:dyDescent="0.25">
      <c r="A569"/>
      <c r="B569"/>
      <c r="C569"/>
      <c r="D569"/>
      <c r="E569"/>
      <c r="F569"/>
      <c r="G569"/>
      <c r="H569"/>
    </row>
    <row r="570" spans="1:8" x14ac:dyDescent="0.25">
      <c r="A570"/>
      <c r="B570"/>
      <c r="C570"/>
      <c r="D570"/>
      <c r="E570"/>
      <c r="F570"/>
      <c r="G570"/>
      <c r="H570"/>
    </row>
    <row r="571" spans="1:8" x14ac:dyDescent="0.25">
      <c r="A571"/>
      <c r="B571"/>
      <c r="C571"/>
      <c r="D571"/>
      <c r="E571"/>
      <c r="F571"/>
      <c r="G571"/>
      <c r="H571"/>
    </row>
    <row r="572" spans="1:8" x14ac:dyDescent="0.25">
      <c r="A572"/>
      <c r="B572"/>
      <c r="C572"/>
      <c r="D572"/>
      <c r="E572"/>
      <c r="F572"/>
      <c r="G572"/>
      <c r="H572"/>
    </row>
    <row r="573" spans="1:8" x14ac:dyDescent="0.25">
      <c r="A573"/>
      <c r="B573"/>
      <c r="C573"/>
      <c r="D573"/>
      <c r="E573"/>
      <c r="F573"/>
      <c r="G573"/>
      <c r="H573"/>
    </row>
    <row r="574" spans="1:8" x14ac:dyDescent="0.25">
      <c r="A574"/>
      <c r="B574"/>
      <c r="C574"/>
      <c r="D574"/>
      <c r="E574"/>
      <c r="F574"/>
      <c r="G574"/>
      <c r="H574"/>
    </row>
    <row r="575" spans="1:8" x14ac:dyDescent="0.25">
      <c r="A575"/>
      <c r="B575"/>
      <c r="C575"/>
      <c r="D575"/>
      <c r="E575"/>
      <c r="F575"/>
      <c r="G575"/>
      <c r="H575"/>
    </row>
    <row r="576" spans="1:8" x14ac:dyDescent="0.25">
      <c r="A576"/>
      <c r="B576"/>
      <c r="C576"/>
      <c r="D576"/>
      <c r="E576"/>
      <c r="F576"/>
      <c r="G576"/>
      <c r="H576"/>
    </row>
    <row r="577" spans="1:8" x14ac:dyDescent="0.25">
      <c r="A577"/>
      <c r="B577"/>
      <c r="C577"/>
      <c r="D577"/>
      <c r="E577"/>
      <c r="F577"/>
      <c r="G577"/>
      <c r="H577"/>
    </row>
    <row r="578" spans="1:8" x14ac:dyDescent="0.25">
      <c r="A578"/>
      <c r="B578"/>
      <c r="C578"/>
      <c r="D578"/>
      <c r="E578"/>
      <c r="F578"/>
      <c r="G578"/>
      <c r="H578"/>
    </row>
    <row r="579" spans="1:8" x14ac:dyDescent="0.25">
      <c r="A579"/>
      <c r="B579"/>
      <c r="C579"/>
      <c r="D579"/>
      <c r="E579"/>
      <c r="F579"/>
      <c r="G579"/>
      <c r="H579"/>
    </row>
    <row r="580" spans="1:8" x14ac:dyDescent="0.25">
      <c r="A580"/>
      <c r="B580"/>
      <c r="C580"/>
      <c r="D580"/>
      <c r="E580"/>
      <c r="F580"/>
      <c r="G580"/>
      <c r="H580"/>
    </row>
    <row r="581" spans="1:8" x14ac:dyDescent="0.25">
      <c r="A581"/>
      <c r="B581"/>
      <c r="C581"/>
      <c r="D581"/>
      <c r="E581"/>
      <c r="F581"/>
      <c r="G581"/>
      <c r="H581"/>
    </row>
    <row r="582" spans="1:8" x14ac:dyDescent="0.25">
      <c r="A582"/>
      <c r="B582"/>
      <c r="C582"/>
      <c r="D582"/>
      <c r="E582"/>
      <c r="F582"/>
      <c r="G582"/>
      <c r="H582"/>
    </row>
    <row r="583" spans="1:8" x14ac:dyDescent="0.25">
      <c r="A583"/>
      <c r="B583"/>
      <c r="C583"/>
      <c r="D583"/>
      <c r="E583"/>
      <c r="F583"/>
      <c r="G583"/>
      <c r="H583"/>
    </row>
    <row r="584" spans="1:8" x14ac:dyDescent="0.25">
      <c r="A584"/>
      <c r="B584"/>
      <c r="C584"/>
      <c r="D584"/>
      <c r="E584"/>
      <c r="F584"/>
      <c r="G584"/>
      <c r="H584"/>
    </row>
    <row r="585" spans="1:8" x14ac:dyDescent="0.25">
      <c r="A585"/>
      <c r="B585"/>
      <c r="C585"/>
      <c r="D585"/>
      <c r="E585"/>
      <c r="F585"/>
      <c r="G585"/>
      <c r="H585"/>
    </row>
    <row r="586" spans="1:8" x14ac:dyDescent="0.25">
      <c r="A586"/>
      <c r="B586"/>
      <c r="C586"/>
      <c r="D586"/>
      <c r="E586"/>
      <c r="F586"/>
      <c r="G586"/>
      <c r="H586"/>
    </row>
    <row r="587" spans="1:8" x14ac:dyDescent="0.25">
      <c r="A587"/>
      <c r="B587"/>
      <c r="C587"/>
      <c r="D587"/>
      <c r="E587"/>
      <c r="F587"/>
      <c r="G587"/>
      <c r="H587"/>
    </row>
    <row r="588" spans="1:8" x14ac:dyDescent="0.25">
      <c r="A588"/>
      <c r="B588"/>
      <c r="C588"/>
      <c r="D588"/>
      <c r="E588"/>
      <c r="F588"/>
      <c r="G588"/>
      <c r="H588"/>
    </row>
    <row r="589" spans="1:8" x14ac:dyDescent="0.25">
      <c r="A589"/>
      <c r="B589"/>
      <c r="C589"/>
      <c r="D589"/>
      <c r="E589"/>
      <c r="F589"/>
      <c r="G589"/>
      <c r="H589"/>
    </row>
    <row r="590" spans="1:8" x14ac:dyDescent="0.25">
      <c r="A590"/>
      <c r="B590"/>
      <c r="C590"/>
      <c r="D590"/>
      <c r="E590"/>
      <c r="F590"/>
      <c r="G590"/>
      <c r="H590"/>
    </row>
    <row r="591" spans="1:8" x14ac:dyDescent="0.25">
      <c r="A591"/>
      <c r="B591"/>
      <c r="C591"/>
      <c r="D591"/>
      <c r="E591"/>
      <c r="F591"/>
      <c r="G591"/>
      <c r="H591"/>
    </row>
    <row r="592" spans="1:8" x14ac:dyDescent="0.25">
      <c r="A592"/>
      <c r="B592"/>
      <c r="C592"/>
      <c r="D592"/>
      <c r="E592"/>
      <c r="F592"/>
      <c r="G592"/>
      <c r="H592"/>
    </row>
    <row r="593" spans="1:8" x14ac:dyDescent="0.25">
      <c r="A593"/>
      <c r="B593"/>
      <c r="C593"/>
      <c r="D593"/>
      <c r="E593"/>
      <c r="F593"/>
      <c r="G593"/>
      <c r="H593"/>
    </row>
    <row r="594" spans="1:8" x14ac:dyDescent="0.25">
      <c r="A594"/>
      <c r="B594"/>
      <c r="C594"/>
      <c r="D594"/>
      <c r="E594"/>
      <c r="F594"/>
      <c r="G594"/>
      <c r="H594"/>
    </row>
    <row r="595" spans="1:8" x14ac:dyDescent="0.25">
      <c r="A595"/>
      <c r="B595"/>
      <c r="C595"/>
      <c r="D595"/>
      <c r="E595"/>
      <c r="F595"/>
      <c r="G595"/>
      <c r="H595"/>
    </row>
    <row r="596" spans="1:8" x14ac:dyDescent="0.25">
      <c r="A596"/>
      <c r="B596"/>
      <c r="C596"/>
      <c r="D596"/>
      <c r="E596"/>
      <c r="F596"/>
      <c r="G596"/>
      <c r="H596"/>
    </row>
    <row r="597" spans="1:8" x14ac:dyDescent="0.25">
      <c r="A597"/>
      <c r="B597"/>
      <c r="C597"/>
      <c r="D597"/>
      <c r="E597"/>
      <c r="F597"/>
      <c r="G597"/>
      <c r="H597"/>
    </row>
    <row r="598" spans="1:8" x14ac:dyDescent="0.25">
      <c r="A598"/>
      <c r="B598"/>
      <c r="C598"/>
      <c r="D598"/>
      <c r="E598"/>
      <c r="F598"/>
      <c r="G598"/>
      <c r="H598"/>
    </row>
    <row r="599" spans="1:8" x14ac:dyDescent="0.25">
      <c r="A599"/>
      <c r="B599"/>
      <c r="C599"/>
      <c r="D599"/>
      <c r="E599"/>
      <c r="F599"/>
      <c r="G599"/>
      <c r="H599"/>
    </row>
    <row r="600" spans="1:8" x14ac:dyDescent="0.25">
      <c r="A600"/>
      <c r="B600"/>
      <c r="C600"/>
      <c r="D600"/>
      <c r="E600"/>
      <c r="F600"/>
      <c r="G600"/>
      <c r="H600"/>
    </row>
    <row r="601" spans="1:8" x14ac:dyDescent="0.25">
      <c r="A601"/>
      <c r="B601"/>
      <c r="C601"/>
      <c r="D601"/>
      <c r="E601"/>
      <c r="F601"/>
      <c r="G601"/>
      <c r="H601"/>
    </row>
    <row r="602" spans="1:8" x14ac:dyDescent="0.25">
      <c r="A602"/>
      <c r="B602"/>
      <c r="C602"/>
      <c r="D602"/>
      <c r="E602"/>
      <c r="F602"/>
      <c r="G602"/>
      <c r="H602"/>
    </row>
    <row r="603" spans="1:8" x14ac:dyDescent="0.25">
      <c r="A603"/>
      <c r="B603"/>
      <c r="C603"/>
      <c r="D603"/>
      <c r="E603"/>
      <c r="F603"/>
      <c r="G603"/>
      <c r="H603"/>
    </row>
    <row r="604" spans="1:8" x14ac:dyDescent="0.25">
      <c r="A604"/>
      <c r="B604"/>
      <c r="C604"/>
      <c r="D604"/>
      <c r="E604"/>
      <c r="F604"/>
      <c r="G604"/>
      <c r="H604"/>
    </row>
    <row r="605" spans="1:8" x14ac:dyDescent="0.25">
      <c r="A605"/>
      <c r="B605"/>
      <c r="C605"/>
      <c r="D605"/>
      <c r="E605"/>
      <c r="F605"/>
      <c r="G605"/>
      <c r="H605"/>
    </row>
    <row r="606" spans="1:8" x14ac:dyDescent="0.25">
      <c r="A606"/>
      <c r="B606"/>
      <c r="C606"/>
      <c r="D606"/>
      <c r="E606"/>
      <c r="F606"/>
      <c r="G606"/>
      <c r="H606"/>
    </row>
    <row r="607" spans="1:8" x14ac:dyDescent="0.25">
      <c r="A607"/>
      <c r="B607"/>
      <c r="C607"/>
      <c r="D607"/>
      <c r="E607"/>
      <c r="F607"/>
      <c r="G607"/>
      <c r="H607"/>
    </row>
    <row r="608" spans="1:8" x14ac:dyDescent="0.25">
      <c r="A608"/>
      <c r="B608"/>
      <c r="C608"/>
      <c r="D608"/>
      <c r="E608"/>
      <c r="F608"/>
      <c r="G608"/>
      <c r="H608"/>
    </row>
    <row r="609" spans="1:8" x14ac:dyDescent="0.25">
      <c r="A609"/>
      <c r="B609"/>
      <c r="C609"/>
      <c r="D609"/>
      <c r="E609"/>
      <c r="F609"/>
      <c r="G609"/>
      <c r="H609"/>
    </row>
    <row r="610" spans="1:8" x14ac:dyDescent="0.25">
      <c r="A610"/>
      <c r="B610"/>
      <c r="C610"/>
      <c r="D610"/>
      <c r="E610"/>
      <c r="F610"/>
      <c r="G610"/>
      <c r="H610"/>
    </row>
    <row r="611" spans="1:8" x14ac:dyDescent="0.25">
      <c r="A611"/>
      <c r="B611"/>
      <c r="C611"/>
      <c r="D611"/>
      <c r="E611"/>
      <c r="F611"/>
      <c r="G611"/>
      <c r="H611"/>
    </row>
    <row r="612" spans="1:8" x14ac:dyDescent="0.25">
      <c r="A612"/>
      <c r="B612"/>
      <c r="C612"/>
      <c r="D612"/>
      <c r="E612"/>
      <c r="F612"/>
      <c r="G612"/>
      <c r="H612"/>
    </row>
    <row r="613" spans="1:8" x14ac:dyDescent="0.25">
      <c r="A613"/>
      <c r="B613"/>
      <c r="C613"/>
      <c r="D613"/>
      <c r="E613"/>
      <c r="F613"/>
      <c r="G613"/>
      <c r="H613"/>
    </row>
    <row r="614" spans="1:8" x14ac:dyDescent="0.25">
      <c r="A614"/>
      <c r="B614"/>
      <c r="C614"/>
      <c r="D614"/>
      <c r="E614"/>
      <c r="F614"/>
      <c r="G614"/>
      <c r="H614"/>
    </row>
    <row r="615" spans="1:8" x14ac:dyDescent="0.25">
      <c r="A615"/>
      <c r="B615"/>
      <c r="C615"/>
      <c r="D615"/>
      <c r="E615"/>
      <c r="F615"/>
      <c r="G615"/>
      <c r="H615"/>
    </row>
    <row r="616" spans="1:8" x14ac:dyDescent="0.25">
      <c r="A616"/>
      <c r="B616"/>
      <c r="C616"/>
      <c r="D616"/>
      <c r="E616"/>
      <c r="F616"/>
      <c r="G616"/>
      <c r="H616"/>
    </row>
    <row r="617" spans="1:8" x14ac:dyDescent="0.25">
      <c r="A617"/>
      <c r="B617"/>
      <c r="C617"/>
      <c r="D617"/>
      <c r="E617"/>
      <c r="F617"/>
      <c r="G617"/>
      <c r="H617"/>
    </row>
    <row r="618" spans="1:8" x14ac:dyDescent="0.25">
      <c r="A618"/>
      <c r="B618"/>
      <c r="C618"/>
      <c r="D618"/>
      <c r="E618"/>
      <c r="F618"/>
      <c r="G618"/>
      <c r="H618"/>
    </row>
    <row r="619" spans="1:8" x14ac:dyDescent="0.25">
      <c r="A619"/>
      <c r="B619"/>
      <c r="C619"/>
      <c r="D619"/>
      <c r="E619"/>
      <c r="F619"/>
      <c r="G619"/>
      <c r="H619"/>
    </row>
    <row r="620" spans="1:8" x14ac:dyDescent="0.25">
      <c r="A620"/>
      <c r="B620"/>
      <c r="C620"/>
      <c r="D620"/>
      <c r="E620"/>
      <c r="F620"/>
      <c r="G620"/>
      <c r="H620"/>
    </row>
    <row r="621" spans="1:8" x14ac:dyDescent="0.25">
      <c r="A621"/>
      <c r="B621"/>
      <c r="C621"/>
      <c r="D621"/>
      <c r="E621"/>
      <c r="F621"/>
      <c r="G621"/>
      <c r="H621"/>
    </row>
    <row r="622" spans="1:8" x14ac:dyDescent="0.25">
      <c r="A622"/>
      <c r="B622"/>
      <c r="C622"/>
      <c r="D622"/>
      <c r="E622"/>
      <c r="F622"/>
      <c r="G622"/>
      <c r="H622"/>
    </row>
    <row r="623" spans="1:8" x14ac:dyDescent="0.25">
      <c r="A623"/>
      <c r="B623"/>
      <c r="C623"/>
      <c r="D623"/>
      <c r="E623"/>
      <c r="F623"/>
      <c r="G623"/>
      <c r="H623"/>
    </row>
    <row r="624" spans="1:8" x14ac:dyDescent="0.25">
      <c r="A624"/>
      <c r="B624"/>
      <c r="C624"/>
      <c r="D624"/>
      <c r="E624"/>
      <c r="F624"/>
      <c r="G624"/>
      <c r="H624"/>
    </row>
    <row r="625" spans="1:8" x14ac:dyDescent="0.25">
      <c r="A625"/>
      <c r="B625"/>
      <c r="C625"/>
      <c r="D625"/>
      <c r="E625"/>
      <c r="F625"/>
      <c r="G625"/>
      <c r="H625"/>
    </row>
    <row r="626" spans="1:8" x14ac:dyDescent="0.25">
      <c r="A626"/>
      <c r="B626"/>
      <c r="C626"/>
      <c r="D626"/>
      <c r="E626"/>
      <c r="F626"/>
      <c r="G626"/>
      <c r="H626"/>
    </row>
    <row r="627" spans="1:8" x14ac:dyDescent="0.25">
      <c r="A627"/>
      <c r="B627"/>
      <c r="C627"/>
      <c r="D627"/>
      <c r="E627"/>
      <c r="F627"/>
      <c r="G627"/>
      <c r="H627"/>
    </row>
    <row r="628" spans="1:8" x14ac:dyDescent="0.25">
      <c r="A628"/>
      <c r="B628"/>
      <c r="C628"/>
      <c r="D628"/>
      <c r="E628"/>
      <c r="F628"/>
      <c r="G628"/>
      <c r="H628"/>
    </row>
    <row r="629" spans="1:8" x14ac:dyDescent="0.25">
      <c r="A629"/>
      <c r="B629"/>
      <c r="C629"/>
      <c r="D629"/>
      <c r="E629"/>
      <c r="F629"/>
      <c r="G629"/>
      <c r="H629"/>
    </row>
    <row r="630" spans="1:8" x14ac:dyDescent="0.25">
      <c r="A630"/>
      <c r="B630"/>
      <c r="C630"/>
      <c r="D630"/>
      <c r="E630"/>
      <c r="F630"/>
      <c r="G630"/>
      <c r="H630"/>
    </row>
    <row r="631" spans="1:8" x14ac:dyDescent="0.25">
      <c r="A631"/>
      <c r="B631"/>
      <c r="C631"/>
      <c r="D631"/>
      <c r="E631"/>
      <c r="F631"/>
      <c r="G631"/>
      <c r="H631"/>
    </row>
    <row r="632" spans="1:8" x14ac:dyDescent="0.25">
      <c r="A632"/>
      <c r="B632"/>
      <c r="C632"/>
      <c r="D632"/>
      <c r="E632"/>
      <c r="F632"/>
      <c r="G632"/>
      <c r="H632"/>
    </row>
    <row r="633" spans="1:8" x14ac:dyDescent="0.25">
      <c r="A633"/>
      <c r="B633"/>
      <c r="C633"/>
      <c r="D633"/>
      <c r="E633"/>
      <c r="F633"/>
      <c r="G633"/>
      <c r="H633"/>
    </row>
    <row r="634" spans="1:8" x14ac:dyDescent="0.25">
      <c r="A634"/>
      <c r="B634"/>
      <c r="C634"/>
      <c r="D634"/>
      <c r="E634"/>
      <c r="F634"/>
      <c r="G634"/>
      <c r="H634"/>
    </row>
    <row r="635" spans="1:8" x14ac:dyDescent="0.25">
      <c r="A635"/>
      <c r="B635"/>
      <c r="C635"/>
      <c r="D635"/>
      <c r="E635"/>
      <c r="F635"/>
      <c r="G635"/>
      <c r="H635"/>
    </row>
    <row r="636" spans="1:8" x14ac:dyDescent="0.25">
      <c r="A636"/>
      <c r="B636"/>
      <c r="C636"/>
      <c r="D636"/>
      <c r="E636"/>
      <c r="F636"/>
      <c r="G636"/>
      <c r="H636"/>
    </row>
    <row r="637" spans="1:8" x14ac:dyDescent="0.25">
      <c r="A637"/>
      <c r="B637"/>
      <c r="C637"/>
      <c r="D637"/>
      <c r="E637"/>
      <c r="F637"/>
      <c r="G637"/>
      <c r="H637"/>
    </row>
    <row r="638" spans="1:8" x14ac:dyDescent="0.25">
      <c r="A638"/>
      <c r="B638"/>
      <c r="C638"/>
      <c r="D638"/>
      <c r="E638"/>
      <c r="F638"/>
      <c r="G638"/>
      <c r="H638"/>
    </row>
    <row r="639" spans="1:8" x14ac:dyDescent="0.25">
      <c r="A639"/>
      <c r="B639"/>
      <c r="C639"/>
      <c r="D639"/>
      <c r="E639"/>
      <c r="F639"/>
      <c r="G639"/>
      <c r="H639"/>
    </row>
    <row r="640" spans="1:8" x14ac:dyDescent="0.25">
      <c r="A640"/>
      <c r="B640"/>
      <c r="C640"/>
      <c r="D640"/>
      <c r="E640"/>
      <c r="F640"/>
      <c r="G640"/>
      <c r="H640"/>
    </row>
    <row r="641" spans="1:8" x14ac:dyDescent="0.25">
      <c r="A641"/>
      <c r="B641"/>
      <c r="C641"/>
      <c r="D641"/>
      <c r="E641"/>
      <c r="F641"/>
      <c r="G641"/>
      <c r="H641"/>
    </row>
    <row r="642" spans="1:8" x14ac:dyDescent="0.25">
      <c r="A642"/>
      <c r="B642"/>
      <c r="C642"/>
      <c r="D642"/>
      <c r="E642"/>
      <c r="F642"/>
      <c r="G642"/>
      <c r="H642"/>
    </row>
    <row r="643" spans="1:8" x14ac:dyDescent="0.25">
      <c r="A643"/>
      <c r="B643"/>
      <c r="C643"/>
      <c r="D643"/>
      <c r="E643"/>
      <c r="F643"/>
      <c r="G643"/>
      <c r="H643"/>
    </row>
    <row r="644" spans="1:8" x14ac:dyDescent="0.25">
      <c r="A644"/>
      <c r="B644"/>
      <c r="C644"/>
      <c r="D644"/>
      <c r="E644"/>
      <c r="F644"/>
      <c r="G644"/>
      <c r="H644"/>
    </row>
    <row r="645" spans="1:8" x14ac:dyDescent="0.25">
      <c r="A645"/>
      <c r="B645"/>
      <c r="C645"/>
      <c r="D645"/>
      <c r="E645"/>
      <c r="F645"/>
      <c r="G645"/>
      <c r="H645"/>
    </row>
    <row r="646" spans="1:8" x14ac:dyDescent="0.25">
      <c r="A646"/>
      <c r="B646"/>
      <c r="C646"/>
      <c r="D646"/>
      <c r="E646"/>
      <c r="F646"/>
      <c r="G646"/>
      <c r="H646"/>
    </row>
    <row r="647" spans="1:8" x14ac:dyDescent="0.25">
      <c r="A647"/>
      <c r="B647"/>
      <c r="C647"/>
      <c r="D647"/>
      <c r="E647"/>
      <c r="F647"/>
      <c r="G647"/>
      <c r="H647"/>
    </row>
    <row r="648" spans="1:8" x14ac:dyDescent="0.25">
      <c r="A648"/>
      <c r="B648"/>
      <c r="C648"/>
      <c r="D648"/>
      <c r="E648"/>
      <c r="F648"/>
      <c r="G648"/>
      <c r="H648"/>
    </row>
    <row r="649" spans="1:8" x14ac:dyDescent="0.25">
      <c r="A649"/>
      <c r="B649"/>
      <c r="C649"/>
      <c r="D649"/>
      <c r="E649"/>
      <c r="F649"/>
      <c r="G649"/>
      <c r="H649"/>
    </row>
    <row r="650" spans="1:8" x14ac:dyDescent="0.25">
      <c r="A650"/>
      <c r="B650"/>
      <c r="C650"/>
      <c r="D650"/>
      <c r="E650"/>
      <c r="F650"/>
      <c r="G650"/>
      <c r="H650"/>
    </row>
    <row r="651" spans="1:8" x14ac:dyDescent="0.25">
      <c r="A651"/>
      <c r="B651"/>
      <c r="C651"/>
      <c r="D651"/>
      <c r="E651"/>
      <c r="F651"/>
      <c r="G651"/>
      <c r="H651"/>
    </row>
    <row r="652" spans="1:8" x14ac:dyDescent="0.25">
      <c r="A652"/>
      <c r="B652"/>
      <c r="C652"/>
      <c r="D652"/>
      <c r="E652"/>
      <c r="F652"/>
      <c r="G652"/>
      <c r="H652"/>
    </row>
    <row r="653" spans="1:8" x14ac:dyDescent="0.25">
      <c r="A653"/>
      <c r="B653"/>
      <c r="C653"/>
      <c r="D653"/>
      <c r="E653"/>
      <c r="F653"/>
      <c r="G653"/>
      <c r="H653"/>
    </row>
    <row r="654" spans="1:8" x14ac:dyDescent="0.25">
      <c r="A654"/>
      <c r="B654"/>
      <c r="C654"/>
      <c r="D654"/>
      <c r="E654"/>
      <c r="F654"/>
      <c r="G654"/>
      <c r="H654"/>
    </row>
    <row r="655" spans="1:8" x14ac:dyDescent="0.25">
      <c r="A655"/>
      <c r="B655"/>
      <c r="C655"/>
      <c r="D655"/>
      <c r="E655"/>
      <c r="F655"/>
      <c r="G655"/>
      <c r="H655"/>
    </row>
    <row r="656" spans="1:8" x14ac:dyDescent="0.25">
      <c r="A656"/>
      <c r="B656"/>
      <c r="C656"/>
      <c r="D656"/>
      <c r="E656"/>
      <c r="F656"/>
      <c r="G656"/>
      <c r="H656"/>
    </row>
    <row r="657" spans="1:8" x14ac:dyDescent="0.25">
      <c r="A657"/>
      <c r="B657"/>
      <c r="C657"/>
      <c r="D657"/>
      <c r="E657"/>
      <c r="F657"/>
      <c r="G657"/>
      <c r="H657"/>
    </row>
    <row r="658" spans="1:8" x14ac:dyDescent="0.25">
      <c r="A658"/>
      <c r="B658"/>
      <c r="C658"/>
      <c r="D658"/>
      <c r="E658"/>
      <c r="F658"/>
      <c r="G658"/>
      <c r="H658"/>
    </row>
    <row r="659" spans="1:8" x14ac:dyDescent="0.25">
      <c r="A659"/>
      <c r="B659"/>
      <c r="C659"/>
      <c r="D659"/>
      <c r="E659"/>
      <c r="F659"/>
      <c r="G659"/>
      <c r="H659"/>
    </row>
    <row r="660" spans="1:8" x14ac:dyDescent="0.25">
      <c r="A660"/>
      <c r="B660"/>
      <c r="C660"/>
      <c r="D660"/>
      <c r="E660"/>
      <c r="F660"/>
      <c r="G660"/>
      <c r="H660"/>
    </row>
    <row r="661" spans="1:8" x14ac:dyDescent="0.25">
      <c r="A661"/>
      <c r="B661"/>
      <c r="C661"/>
      <c r="D661"/>
      <c r="E661"/>
      <c r="F661"/>
      <c r="G661"/>
      <c r="H661"/>
    </row>
    <row r="662" spans="1:8" x14ac:dyDescent="0.25">
      <c r="A662"/>
      <c r="B662"/>
      <c r="C662"/>
      <c r="D662"/>
      <c r="E662"/>
      <c r="F662"/>
      <c r="G662"/>
      <c r="H662"/>
    </row>
    <row r="663" spans="1:8" x14ac:dyDescent="0.25">
      <c r="A663"/>
      <c r="B663"/>
      <c r="C663"/>
      <c r="D663"/>
      <c r="E663"/>
      <c r="F663"/>
      <c r="G663"/>
      <c r="H663"/>
    </row>
    <row r="664" spans="1:8" x14ac:dyDescent="0.25">
      <c r="A664"/>
      <c r="B664"/>
      <c r="C664"/>
      <c r="D664"/>
      <c r="E664"/>
      <c r="F664"/>
      <c r="G664"/>
      <c r="H664"/>
    </row>
    <row r="665" spans="1:8" x14ac:dyDescent="0.25">
      <c r="A665"/>
      <c r="B665"/>
      <c r="C665"/>
      <c r="D665"/>
      <c r="E665"/>
      <c r="F665"/>
      <c r="G665"/>
      <c r="H665"/>
    </row>
    <row r="666" spans="1:8" x14ac:dyDescent="0.25">
      <c r="A666"/>
      <c r="B666"/>
      <c r="C666"/>
      <c r="D666"/>
      <c r="E666"/>
      <c r="F666"/>
      <c r="G666"/>
      <c r="H666"/>
    </row>
    <row r="667" spans="1:8" x14ac:dyDescent="0.25">
      <c r="A667"/>
      <c r="B667"/>
      <c r="C667"/>
      <c r="D667"/>
      <c r="E667"/>
      <c r="F667"/>
      <c r="G667"/>
      <c r="H667"/>
    </row>
    <row r="668" spans="1:8" x14ac:dyDescent="0.25">
      <c r="A668"/>
      <c r="B668"/>
      <c r="C668"/>
      <c r="D668"/>
      <c r="E668"/>
      <c r="F668"/>
      <c r="G668"/>
      <c r="H668"/>
    </row>
    <row r="669" spans="1:8" x14ac:dyDescent="0.25">
      <c r="A669"/>
      <c r="B669"/>
      <c r="C669"/>
      <c r="D669"/>
      <c r="E669"/>
      <c r="F669"/>
      <c r="G669"/>
      <c r="H669"/>
    </row>
    <row r="670" spans="1:8" x14ac:dyDescent="0.25">
      <c r="A670"/>
      <c r="B670"/>
      <c r="C670"/>
      <c r="D670"/>
      <c r="E670"/>
      <c r="F670"/>
      <c r="G670"/>
      <c r="H670"/>
    </row>
    <row r="671" spans="1:8" x14ac:dyDescent="0.25">
      <c r="A671"/>
      <c r="B671"/>
      <c r="C671"/>
      <c r="D671"/>
      <c r="E671"/>
      <c r="F671"/>
      <c r="G671"/>
      <c r="H671"/>
    </row>
    <row r="672" spans="1:8" x14ac:dyDescent="0.25">
      <c r="A672"/>
      <c r="B672"/>
      <c r="C672"/>
      <c r="D672"/>
      <c r="E672"/>
      <c r="F672"/>
      <c r="G672"/>
      <c r="H672"/>
    </row>
    <row r="673" spans="1:8" x14ac:dyDescent="0.25">
      <c r="A673"/>
      <c r="B673"/>
      <c r="C673"/>
      <c r="D673"/>
      <c r="E673"/>
      <c r="F673"/>
      <c r="G673"/>
      <c r="H673"/>
    </row>
    <row r="674" spans="1:8" x14ac:dyDescent="0.25">
      <c r="A674"/>
      <c r="B674"/>
      <c r="C674"/>
      <c r="D674"/>
      <c r="E674"/>
      <c r="F674"/>
      <c r="G674"/>
      <c r="H674"/>
    </row>
    <row r="675" spans="1:8" x14ac:dyDescent="0.25">
      <c r="A675"/>
      <c r="B675"/>
      <c r="C675"/>
      <c r="D675"/>
      <c r="E675"/>
      <c r="F675"/>
      <c r="G675"/>
      <c r="H675"/>
    </row>
    <row r="676" spans="1:8" x14ac:dyDescent="0.25">
      <c r="A676"/>
      <c r="B676"/>
      <c r="C676"/>
      <c r="D676"/>
      <c r="E676"/>
      <c r="F676"/>
      <c r="G676"/>
      <c r="H676"/>
    </row>
    <row r="677" spans="1:8" x14ac:dyDescent="0.25">
      <c r="A677"/>
      <c r="B677"/>
      <c r="C677"/>
      <c r="D677"/>
      <c r="E677"/>
      <c r="F677"/>
      <c r="G677"/>
      <c r="H677"/>
    </row>
    <row r="678" spans="1:8" x14ac:dyDescent="0.25">
      <c r="A678"/>
      <c r="B678"/>
      <c r="C678"/>
      <c r="D678"/>
      <c r="E678"/>
      <c r="F678"/>
      <c r="G678"/>
      <c r="H678"/>
    </row>
    <row r="679" spans="1:8" x14ac:dyDescent="0.25">
      <c r="A679"/>
      <c r="B679"/>
      <c r="C679"/>
      <c r="D679"/>
      <c r="E679"/>
      <c r="F679"/>
      <c r="G679"/>
      <c r="H679"/>
    </row>
    <row r="680" spans="1:8" x14ac:dyDescent="0.25">
      <c r="A680"/>
      <c r="B680"/>
      <c r="C680"/>
      <c r="D680"/>
      <c r="E680"/>
      <c r="F680"/>
      <c r="G680"/>
      <c r="H680"/>
    </row>
    <row r="681" spans="1:8" x14ac:dyDescent="0.25">
      <c r="A681"/>
      <c r="B681"/>
      <c r="C681"/>
      <c r="D681"/>
      <c r="E681"/>
      <c r="F681"/>
      <c r="G681"/>
      <c r="H681"/>
    </row>
    <row r="682" spans="1:8" x14ac:dyDescent="0.25">
      <c r="A682"/>
      <c r="B682"/>
      <c r="C682"/>
      <c r="D682"/>
      <c r="E682"/>
      <c r="F682"/>
      <c r="G682"/>
      <c r="H682"/>
    </row>
    <row r="683" spans="1:8" x14ac:dyDescent="0.25">
      <c r="A683"/>
      <c r="B683"/>
      <c r="C683"/>
      <c r="D683"/>
      <c r="E683"/>
      <c r="F683"/>
      <c r="G683"/>
      <c r="H683"/>
    </row>
    <row r="684" spans="1:8" x14ac:dyDescent="0.25">
      <c r="A684"/>
      <c r="B684"/>
      <c r="C684"/>
      <c r="D684"/>
      <c r="E684"/>
      <c r="F684"/>
      <c r="G684"/>
      <c r="H684"/>
    </row>
    <row r="685" spans="1:8" x14ac:dyDescent="0.25">
      <c r="A685"/>
      <c r="B685"/>
      <c r="C685"/>
      <c r="D685"/>
      <c r="E685"/>
      <c r="F685"/>
      <c r="G685"/>
      <c r="H685"/>
    </row>
    <row r="686" spans="1:8" x14ac:dyDescent="0.25">
      <c r="A686"/>
      <c r="B686"/>
      <c r="C686"/>
      <c r="D686"/>
      <c r="E686"/>
      <c r="F686"/>
      <c r="G686"/>
      <c r="H686"/>
    </row>
    <row r="687" spans="1:8" x14ac:dyDescent="0.25">
      <c r="A687"/>
      <c r="B687"/>
      <c r="C687"/>
      <c r="D687"/>
      <c r="E687"/>
      <c r="F687"/>
      <c r="G687"/>
      <c r="H687"/>
    </row>
    <row r="688" spans="1:8" x14ac:dyDescent="0.25">
      <c r="A688"/>
      <c r="B688"/>
      <c r="C688"/>
      <c r="D688"/>
      <c r="E688"/>
      <c r="F688"/>
      <c r="G688"/>
      <c r="H688"/>
    </row>
    <row r="689" spans="1:8" x14ac:dyDescent="0.25">
      <c r="A689"/>
      <c r="B689"/>
      <c r="C689"/>
      <c r="D689"/>
      <c r="E689"/>
      <c r="F689"/>
      <c r="G689"/>
      <c r="H689"/>
    </row>
    <row r="690" spans="1:8" x14ac:dyDescent="0.25">
      <c r="A690"/>
      <c r="B690"/>
      <c r="C690"/>
      <c r="D690"/>
      <c r="E690"/>
      <c r="F690"/>
      <c r="G690"/>
      <c r="H690"/>
    </row>
    <row r="691" spans="1:8" x14ac:dyDescent="0.25">
      <c r="A691"/>
      <c r="B691"/>
      <c r="C691"/>
      <c r="D691"/>
      <c r="E691"/>
      <c r="F691"/>
      <c r="G691"/>
      <c r="H691"/>
    </row>
    <row r="692" spans="1:8" x14ac:dyDescent="0.25">
      <c r="A692"/>
      <c r="B692"/>
      <c r="C692"/>
      <c r="D692"/>
      <c r="E692"/>
      <c r="F692"/>
      <c r="G692"/>
      <c r="H692"/>
    </row>
    <row r="693" spans="1:8" x14ac:dyDescent="0.25">
      <c r="A693"/>
      <c r="B693"/>
      <c r="C693"/>
      <c r="D693"/>
      <c r="E693"/>
      <c r="F693"/>
      <c r="G693"/>
      <c r="H693"/>
    </row>
    <row r="694" spans="1:8" x14ac:dyDescent="0.25">
      <c r="A694"/>
      <c r="B694"/>
      <c r="C694"/>
      <c r="D694"/>
      <c r="E694"/>
      <c r="F694"/>
      <c r="G694"/>
      <c r="H694"/>
    </row>
    <row r="695" spans="1:8" x14ac:dyDescent="0.25">
      <c r="A695"/>
      <c r="B695"/>
      <c r="C695"/>
      <c r="D695"/>
      <c r="E695"/>
      <c r="F695"/>
      <c r="G695"/>
      <c r="H695"/>
    </row>
    <row r="696" spans="1:8" x14ac:dyDescent="0.25">
      <c r="A696"/>
      <c r="B696"/>
      <c r="C696"/>
      <c r="D696"/>
      <c r="E696"/>
      <c r="F696"/>
      <c r="G696"/>
      <c r="H696"/>
    </row>
    <row r="697" spans="1:8" x14ac:dyDescent="0.25">
      <c r="A697"/>
      <c r="B697"/>
      <c r="C697"/>
      <c r="D697"/>
      <c r="E697"/>
      <c r="F697"/>
      <c r="G697"/>
      <c r="H697"/>
    </row>
    <row r="698" spans="1:8" x14ac:dyDescent="0.25">
      <c r="A698"/>
      <c r="B698"/>
      <c r="C698"/>
      <c r="D698"/>
      <c r="E698"/>
      <c r="F698"/>
      <c r="G698"/>
      <c r="H698"/>
    </row>
    <row r="699" spans="1:8" x14ac:dyDescent="0.25">
      <c r="A699"/>
      <c r="B699"/>
      <c r="C699"/>
      <c r="D699"/>
      <c r="E699"/>
      <c r="F699"/>
      <c r="G699"/>
      <c r="H699"/>
    </row>
    <row r="700" spans="1:8" x14ac:dyDescent="0.25">
      <c r="A700"/>
      <c r="B700"/>
      <c r="C700"/>
      <c r="D700"/>
      <c r="E700"/>
      <c r="F700"/>
      <c r="G700"/>
      <c r="H700"/>
    </row>
    <row r="701" spans="1:8" x14ac:dyDescent="0.25">
      <c r="A701"/>
      <c r="B701"/>
      <c r="C701"/>
      <c r="D701"/>
      <c r="E701"/>
      <c r="F701"/>
      <c r="G701"/>
      <c r="H701"/>
    </row>
    <row r="702" spans="1:8" x14ac:dyDescent="0.25">
      <c r="A702"/>
      <c r="B702"/>
      <c r="C702"/>
      <c r="D702"/>
      <c r="E702"/>
      <c r="F702"/>
      <c r="G702"/>
      <c r="H702"/>
    </row>
    <row r="703" spans="1:8" x14ac:dyDescent="0.25">
      <c r="A703"/>
      <c r="B703"/>
      <c r="C703"/>
      <c r="D703"/>
      <c r="E703"/>
      <c r="F703"/>
      <c r="G703"/>
      <c r="H703"/>
    </row>
    <row r="704" spans="1:8" x14ac:dyDescent="0.25">
      <c r="A704"/>
      <c r="B704"/>
      <c r="C704"/>
      <c r="D704"/>
      <c r="E704"/>
      <c r="F704"/>
      <c r="G704"/>
      <c r="H704"/>
    </row>
    <row r="705" spans="1:8" x14ac:dyDescent="0.25">
      <c r="A705"/>
      <c r="B705"/>
      <c r="C705"/>
      <c r="D705"/>
      <c r="E705"/>
      <c r="F705"/>
      <c r="G705"/>
      <c r="H705"/>
    </row>
    <row r="706" spans="1:8" x14ac:dyDescent="0.25">
      <c r="A706"/>
      <c r="B706"/>
      <c r="C706"/>
      <c r="D706"/>
      <c r="E706"/>
      <c r="F706"/>
      <c r="G706"/>
      <c r="H706"/>
    </row>
    <row r="707" spans="1:8" x14ac:dyDescent="0.25">
      <c r="A707"/>
      <c r="B707"/>
      <c r="C707"/>
      <c r="D707"/>
      <c r="E707"/>
      <c r="F707"/>
      <c r="G707"/>
      <c r="H707"/>
    </row>
    <row r="708" spans="1:8" x14ac:dyDescent="0.25">
      <c r="A708"/>
      <c r="B708"/>
      <c r="C708"/>
      <c r="D708"/>
      <c r="E708"/>
      <c r="F708"/>
      <c r="G708"/>
      <c r="H708"/>
    </row>
    <row r="709" spans="1:8" x14ac:dyDescent="0.25">
      <c r="A709"/>
      <c r="B709"/>
      <c r="C709"/>
      <c r="D709"/>
      <c r="E709"/>
      <c r="F709"/>
      <c r="G709"/>
      <c r="H709"/>
    </row>
    <row r="710" spans="1:8" x14ac:dyDescent="0.25">
      <c r="A710"/>
      <c r="B710"/>
      <c r="C710"/>
      <c r="D710"/>
      <c r="E710"/>
      <c r="F710"/>
      <c r="G710"/>
      <c r="H710"/>
    </row>
    <row r="711" spans="1:8" x14ac:dyDescent="0.25">
      <c r="A711"/>
      <c r="B711"/>
      <c r="C711"/>
      <c r="D711"/>
      <c r="E711"/>
      <c r="F711"/>
      <c r="G711"/>
      <c r="H711"/>
    </row>
    <row r="712" spans="1:8" x14ac:dyDescent="0.25">
      <c r="A712"/>
      <c r="B712"/>
      <c r="C712"/>
      <c r="D712"/>
      <c r="E712"/>
      <c r="F712"/>
      <c r="G712"/>
      <c r="H712"/>
    </row>
    <row r="713" spans="1:8" x14ac:dyDescent="0.25">
      <c r="A713"/>
      <c r="B713"/>
      <c r="C713"/>
      <c r="D713"/>
      <c r="E713"/>
      <c r="F713"/>
      <c r="G713"/>
      <c r="H713"/>
    </row>
    <row r="714" spans="1:8" x14ac:dyDescent="0.25">
      <c r="A714"/>
      <c r="B714"/>
      <c r="C714"/>
      <c r="D714"/>
      <c r="E714"/>
      <c r="F714"/>
      <c r="G714"/>
      <c r="H714"/>
    </row>
    <row r="715" spans="1:8" x14ac:dyDescent="0.25">
      <c r="A715"/>
      <c r="B715"/>
      <c r="C715"/>
      <c r="D715"/>
      <c r="E715"/>
      <c r="F715"/>
      <c r="G715"/>
      <c r="H715"/>
    </row>
    <row r="716" spans="1:8" x14ac:dyDescent="0.25">
      <c r="A716"/>
      <c r="B716"/>
      <c r="C716"/>
      <c r="D716"/>
      <c r="E716"/>
      <c r="F716"/>
      <c r="G716"/>
      <c r="H716"/>
    </row>
    <row r="717" spans="1:8" x14ac:dyDescent="0.25">
      <c r="A717"/>
      <c r="B717"/>
      <c r="C717"/>
      <c r="D717"/>
      <c r="E717"/>
      <c r="F717"/>
      <c r="G717"/>
      <c r="H717"/>
    </row>
    <row r="718" spans="1:8" x14ac:dyDescent="0.25">
      <c r="A718"/>
      <c r="B718"/>
      <c r="C718"/>
      <c r="D718"/>
      <c r="E718"/>
      <c r="F718"/>
      <c r="G718"/>
      <c r="H718"/>
    </row>
    <row r="719" spans="1:8" x14ac:dyDescent="0.25">
      <c r="A719"/>
      <c r="B719"/>
      <c r="C719"/>
      <c r="D719"/>
      <c r="E719"/>
      <c r="F719"/>
      <c r="G719"/>
      <c r="H719"/>
    </row>
    <row r="720" spans="1:8" x14ac:dyDescent="0.25">
      <c r="A720"/>
      <c r="B720"/>
      <c r="C720"/>
      <c r="D720"/>
      <c r="E720"/>
      <c r="F720"/>
      <c r="G720"/>
      <c r="H720"/>
    </row>
    <row r="721" spans="1:8" x14ac:dyDescent="0.25">
      <c r="A721"/>
      <c r="B721"/>
      <c r="C721"/>
      <c r="D721"/>
      <c r="E721"/>
      <c r="F721"/>
      <c r="G721"/>
      <c r="H721"/>
    </row>
    <row r="722" spans="1:8" x14ac:dyDescent="0.25">
      <c r="A722"/>
      <c r="B722"/>
      <c r="C722"/>
      <c r="D722"/>
      <c r="E722"/>
      <c r="F722"/>
      <c r="G722"/>
      <c r="H722"/>
    </row>
    <row r="723" spans="1:8" x14ac:dyDescent="0.25">
      <c r="A723"/>
      <c r="B723"/>
      <c r="C723"/>
      <c r="D723"/>
      <c r="E723"/>
      <c r="F723"/>
      <c r="G723"/>
      <c r="H723"/>
    </row>
    <row r="724" spans="1:8" x14ac:dyDescent="0.25">
      <c r="A724"/>
      <c r="B724"/>
      <c r="C724"/>
      <c r="D724"/>
      <c r="E724"/>
      <c r="F724"/>
      <c r="G724"/>
      <c r="H724"/>
    </row>
    <row r="725" spans="1:8" x14ac:dyDescent="0.25">
      <c r="A725"/>
      <c r="B725"/>
      <c r="C725"/>
      <c r="D725"/>
      <c r="E725"/>
      <c r="F725"/>
      <c r="G725"/>
      <c r="H725"/>
    </row>
    <row r="726" spans="1:8" x14ac:dyDescent="0.25">
      <c r="A726"/>
      <c r="B726"/>
      <c r="C726"/>
      <c r="D726"/>
      <c r="E726"/>
      <c r="F726"/>
      <c r="G726"/>
      <c r="H726"/>
    </row>
    <row r="727" spans="1:8" x14ac:dyDescent="0.25">
      <c r="A727"/>
      <c r="B727"/>
      <c r="C727"/>
      <c r="D727"/>
      <c r="E727"/>
      <c r="F727"/>
      <c r="G727"/>
      <c r="H727"/>
    </row>
    <row r="728" spans="1:8" x14ac:dyDescent="0.25">
      <c r="A728"/>
      <c r="B728"/>
      <c r="C728"/>
      <c r="D728"/>
      <c r="E728"/>
      <c r="F728"/>
      <c r="G728"/>
      <c r="H728"/>
    </row>
    <row r="729" spans="1:8" x14ac:dyDescent="0.25">
      <c r="A729"/>
      <c r="B729"/>
      <c r="C729"/>
      <c r="D729"/>
      <c r="E729"/>
      <c r="F729"/>
      <c r="G729"/>
      <c r="H729"/>
    </row>
    <row r="730" spans="1:8" x14ac:dyDescent="0.25">
      <c r="A730"/>
      <c r="B730"/>
      <c r="C730"/>
      <c r="D730"/>
      <c r="E730"/>
      <c r="F730"/>
      <c r="G730"/>
      <c r="H730"/>
    </row>
    <row r="731" spans="1:8" x14ac:dyDescent="0.25">
      <c r="A731"/>
      <c r="B731"/>
      <c r="C731"/>
      <c r="D731"/>
      <c r="E731"/>
      <c r="F731"/>
      <c r="G731"/>
      <c r="H731"/>
    </row>
    <row r="732" spans="1:8" x14ac:dyDescent="0.25">
      <c r="A732"/>
      <c r="B732"/>
      <c r="C732"/>
      <c r="D732"/>
      <c r="E732"/>
      <c r="F732"/>
      <c r="G732"/>
      <c r="H732"/>
    </row>
    <row r="733" spans="1:8" x14ac:dyDescent="0.25">
      <c r="A733"/>
      <c r="B733"/>
      <c r="C733"/>
      <c r="D733"/>
      <c r="E733"/>
      <c r="F733"/>
      <c r="G733"/>
      <c r="H733"/>
    </row>
    <row r="734" spans="1:8" x14ac:dyDescent="0.25">
      <c r="A734"/>
      <c r="B734"/>
      <c r="C734"/>
      <c r="D734"/>
      <c r="E734"/>
      <c r="F734"/>
      <c r="G734"/>
      <c r="H734"/>
    </row>
    <row r="735" spans="1:8" x14ac:dyDescent="0.25">
      <c r="A735"/>
      <c r="B735"/>
      <c r="C735"/>
      <c r="D735"/>
      <c r="E735"/>
      <c r="F735"/>
      <c r="G735"/>
      <c r="H735"/>
    </row>
    <row r="736" spans="1:8" x14ac:dyDescent="0.25">
      <c r="A736"/>
      <c r="B736"/>
      <c r="C736"/>
      <c r="D736"/>
      <c r="E736"/>
      <c r="F736"/>
      <c r="G736"/>
      <c r="H736"/>
    </row>
    <row r="737" spans="1:8" x14ac:dyDescent="0.25">
      <c r="A737"/>
      <c r="B737"/>
      <c r="C737"/>
      <c r="D737"/>
      <c r="E737"/>
      <c r="F737"/>
      <c r="G737"/>
      <c r="H737"/>
    </row>
    <row r="738" spans="1:8" x14ac:dyDescent="0.25">
      <c r="A738"/>
      <c r="B738"/>
      <c r="C738"/>
      <c r="D738"/>
      <c r="E738"/>
      <c r="F738"/>
      <c r="G738"/>
      <c r="H738"/>
    </row>
    <row r="739" spans="1:8" x14ac:dyDescent="0.25">
      <c r="A739"/>
      <c r="B739"/>
      <c r="C739"/>
      <c r="D739"/>
      <c r="E739"/>
      <c r="F739"/>
      <c r="G739"/>
      <c r="H739"/>
    </row>
    <row r="740" spans="1:8" x14ac:dyDescent="0.25">
      <c r="A740"/>
      <c r="B740"/>
      <c r="C740"/>
      <c r="D740"/>
      <c r="E740"/>
      <c r="F740"/>
      <c r="G740"/>
      <c r="H740"/>
    </row>
    <row r="741" spans="1:8" x14ac:dyDescent="0.25">
      <c r="A741"/>
      <c r="B741"/>
      <c r="C741"/>
      <c r="D741"/>
      <c r="E741"/>
      <c r="F741"/>
      <c r="G741"/>
      <c r="H741"/>
    </row>
    <row r="742" spans="1:8" x14ac:dyDescent="0.25">
      <c r="A742"/>
      <c r="B742"/>
      <c r="C742"/>
      <c r="D742"/>
      <c r="E742"/>
      <c r="F742"/>
      <c r="G742"/>
      <c r="H742"/>
    </row>
    <row r="743" spans="1:8" x14ac:dyDescent="0.25">
      <c r="A743"/>
      <c r="B743"/>
      <c r="C743"/>
      <c r="D743"/>
      <c r="E743"/>
      <c r="F743"/>
      <c r="G743"/>
      <c r="H743"/>
    </row>
    <row r="744" spans="1:8" x14ac:dyDescent="0.25">
      <c r="A744"/>
      <c r="B744"/>
      <c r="C744"/>
      <c r="D744"/>
      <c r="E744"/>
      <c r="F744"/>
      <c r="G744"/>
      <c r="H744"/>
    </row>
    <row r="745" spans="1:8" x14ac:dyDescent="0.25">
      <c r="A745"/>
      <c r="B745"/>
      <c r="C745"/>
      <c r="D745"/>
      <c r="E745"/>
      <c r="F745"/>
      <c r="G745"/>
      <c r="H745"/>
    </row>
    <row r="746" spans="1:8" x14ac:dyDescent="0.25">
      <c r="A746"/>
      <c r="B746"/>
      <c r="C746"/>
      <c r="D746"/>
      <c r="E746"/>
      <c r="F746"/>
      <c r="G746"/>
      <c r="H746"/>
    </row>
    <row r="747" spans="1:8" x14ac:dyDescent="0.25">
      <c r="A747"/>
      <c r="B747"/>
      <c r="C747"/>
      <c r="D747"/>
      <c r="E747"/>
      <c r="F747"/>
      <c r="G747"/>
      <c r="H747"/>
    </row>
    <row r="748" spans="1:8" x14ac:dyDescent="0.25">
      <c r="A748"/>
      <c r="B748"/>
      <c r="C748"/>
      <c r="D748"/>
      <c r="E748"/>
      <c r="F748"/>
      <c r="G748"/>
      <c r="H748"/>
    </row>
    <row r="749" spans="1:8" x14ac:dyDescent="0.25">
      <c r="A749"/>
      <c r="B749"/>
      <c r="C749"/>
      <c r="D749"/>
      <c r="E749"/>
      <c r="F749"/>
      <c r="G749"/>
      <c r="H749"/>
    </row>
    <row r="750" spans="1:8" x14ac:dyDescent="0.25">
      <c r="A750"/>
      <c r="B750"/>
      <c r="C750"/>
      <c r="D750"/>
      <c r="E750"/>
      <c r="F750"/>
      <c r="G750"/>
      <c r="H750"/>
    </row>
    <row r="751" spans="1:8" x14ac:dyDescent="0.25">
      <c r="A751"/>
      <c r="B751"/>
      <c r="C751"/>
      <c r="D751"/>
      <c r="E751"/>
      <c r="F751"/>
      <c r="G751"/>
      <c r="H751"/>
    </row>
    <row r="752" spans="1:8" x14ac:dyDescent="0.25">
      <c r="A752"/>
      <c r="B752"/>
      <c r="C752"/>
      <c r="D752"/>
      <c r="E752"/>
      <c r="F752"/>
      <c r="G752"/>
      <c r="H752"/>
    </row>
    <row r="753" spans="1:8" x14ac:dyDescent="0.25">
      <c r="A753"/>
      <c r="B753"/>
      <c r="C753"/>
      <c r="D753"/>
      <c r="E753"/>
      <c r="F753"/>
      <c r="G753"/>
      <c r="H753"/>
    </row>
    <row r="754" spans="1:8" x14ac:dyDescent="0.25">
      <c r="A754"/>
      <c r="B754"/>
      <c r="C754"/>
      <c r="D754"/>
      <c r="E754"/>
      <c r="F754"/>
      <c r="G754"/>
      <c r="H754"/>
    </row>
    <row r="755" spans="1:8" x14ac:dyDescent="0.25">
      <c r="A755"/>
      <c r="B755"/>
      <c r="C755"/>
      <c r="D755"/>
      <c r="E755"/>
      <c r="F755"/>
      <c r="G755"/>
      <c r="H755"/>
    </row>
    <row r="756" spans="1:8" x14ac:dyDescent="0.25">
      <c r="A756"/>
      <c r="B756"/>
      <c r="C756"/>
      <c r="D756"/>
      <c r="E756"/>
      <c r="F756"/>
      <c r="G756"/>
      <c r="H756"/>
    </row>
    <row r="757" spans="1:8" x14ac:dyDescent="0.25">
      <c r="A757"/>
      <c r="B757"/>
      <c r="C757"/>
      <c r="D757"/>
      <c r="E757"/>
      <c r="F757"/>
      <c r="G757"/>
      <c r="H757"/>
    </row>
    <row r="758" spans="1:8" x14ac:dyDescent="0.25">
      <c r="A758"/>
      <c r="B758"/>
      <c r="C758"/>
      <c r="D758"/>
      <c r="E758"/>
      <c r="F758"/>
      <c r="G758"/>
      <c r="H758"/>
    </row>
    <row r="759" spans="1:8" x14ac:dyDescent="0.25">
      <c r="A759"/>
      <c r="B759"/>
      <c r="C759"/>
      <c r="D759"/>
      <c r="E759"/>
      <c r="F759"/>
      <c r="G759"/>
      <c r="H759"/>
    </row>
    <row r="760" spans="1:8" x14ac:dyDescent="0.25">
      <c r="A760"/>
      <c r="B760"/>
      <c r="C760"/>
      <c r="D760"/>
      <c r="E760"/>
      <c r="F760"/>
      <c r="G760"/>
      <c r="H760"/>
    </row>
    <row r="761" spans="1:8" x14ac:dyDescent="0.25">
      <c r="A761"/>
      <c r="B761"/>
      <c r="C761"/>
      <c r="D761"/>
      <c r="E761"/>
      <c r="F761"/>
      <c r="G761"/>
      <c r="H761"/>
    </row>
    <row r="762" spans="1:8" x14ac:dyDescent="0.25">
      <c r="A762"/>
      <c r="B762"/>
      <c r="C762"/>
      <c r="D762"/>
      <c r="E762"/>
      <c r="F762"/>
      <c r="G762"/>
      <c r="H762"/>
    </row>
    <row r="763" spans="1:8" x14ac:dyDescent="0.25">
      <c r="A763"/>
      <c r="B763"/>
      <c r="C763"/>
      <c r="D763"/>
      <c r="E763"/>
      <c r="F763"/>
      <c r="G763"/>
      <c r="H763"/>
    </row>
    <row r="764" spans="1:8" x14ac:dyDescent="0.25">
      <c r="A764"/>
      <c r="B764"/>
      <c r="C764"/>
      <c r="D764"/>
      <c r="E764"/>
      <c r="F764"/>
      <c r="G764"/>
      <c r="H764"/>
    </row>
    <row r="765" spans="1:8" x14ac:dyDescent="0.25">
      <c r="A765"/>
      <c r="B765"/>
      <c r="C765"/>
      <c r="D765"/>
      <c r="E765"/>
      <c r="F765"/>
      <c r="G765"/>
      <c r="H765"/>
    </row>
    <row r="766" spans="1:8" x14ac:dyDescent="0.25">
      <c r="A766"/>
      <c r="B766"/>
      <c r="C766"/>
      <c r="D766"/>
      <c r="E766"/>
      <c r="F766"/>
      <c r="G766"/>
      <c r="H766"/>
    </row>
    <row r="767" spans="1:8" x14ac:dyDescent="0.25">
      <c r="A767"/>
      <c r="B767"/>
      <c r="C767"/>
      <c r="D767"/>
      <c r="E767"/>
      <c r="F767"/>
      <c r="G767"/>
      <c r="H767"/>
    </row>
    <row r="768" spans="1:8" x14ac:dyDescent="0.25">
      <c r="A768"/>
      <c r="B768"/>
      <c r="C768"/>
      <c r="D768"/>
      <c r="E768"/>
      <c r="F768"/>
      <c r="G768"/>
      <c r="H768"/>
    </row>
    <row r="769" spans="1:8" x14ac:dyDescent="0.25">
      <c r="A769"/>
      <c r="B769"/>
      <c r="C769"/>
      <c r="D769"/>
      <c r="E769"/>
      <c r="F769"/>
      <c r="G769"/>
      <c r="H769"/>
    </row>
    <row r="770" spans="1:8" x14ac:dyDescent="0.25">
      <c r="A770"/>
      <c r="B770"/>
      <c r="C770"/>
      <c r="D770"/>
      <c r="E770"/>
      <c r="F770"/>
      <c r="G770"/>
      <c r="H770"/>
    </row>
    <row r="771" spans="1:8" x14ac:dyDescent="0.25">
      <c r="A771"/>
      <c r="B771"/>
      <c r="C771"/>
      <c r="D771"/>
      <c r="E771"/>
      <c r="F771"/>
      <c r="G771"/>
      <c r="H771"/>
    </row>
    <row r="772" spans="1:8" x14ac:dyDescent="0.25">
      <c r="A772"/>
      <c r="B772"/>
      <c r="C772"/>
      <c r="D772"/>
      <c r="E772"/>
      <c r="F772"/>
      <c r="G772"/>
      <c r="H772"/>
    </row>
    <row r="773" spans="1:8" x14ac:dyDescent="0.25">
      <c r="A773"/>
      <c r="B773"/>
      <c r="C773"/>
      <c r="D773"/>
      <c r="E773"/>
      <c r="F773"/>
      <c r="G773"/>
      <c r="H773"/>
    </row>
    <row r="774" spans="1:8" x14ac:dyDescent="0.25">
      <c r="A774"/>
      <c r="B774"/>
      <c r="C774"/>
      <c r="D774"/>
      <c r="E774"/>
      <c r="F774"/>
      <c r="G774"/>
      <c r="H774"/>
    </row>
    <row r="775" spans="1:8" x14ac:dyDescent="0.25">
      <c r="A775"/>
      <c r="B775"/>
      <c r="C775"/>
      <c r="D775"/>
      <c r="E775"/>
      <c r="F775"/>
      <c r="G775"/>
      <c r="H775"/>
    </row>
    <row r="776" spans="1:8" x14ac:dyDescent="0.25">
      <c r="A776"/>
      <c r="B776"/>
      <c r="C776"/>
      <c r="D776"/>
      <c r="E776"/>
      <c r="F776"/>
      <c r="G776"/>
      <c r="H776"/>
    </row>
    <row r="777" spans="1:8" x14ac:dyDescent="0.25">
      <c r="A777"/>
      <c r="B777"/>
      <c r="C777"/>
      <c r="D777"/>
      <c r="E777"/>
      <c r="F777"/>
      <c r="G777"/>
      <c r="H777"/>
    </row>
    <row r="778" spans="1:8" x14ac:dyDescent="0.25">
      <c r="A778"/>
      <c r="B778"/>
      <c r="C778"/>
      <c r="D778"/>
      <c r="E778"/>
      <c r="F778"/>
      <c r="G778"/>
      <c r="H778"/>
    </row>
  </sheetData>
  <sheetProtection sheet="1" objects="1" scenarios="1" formatCells="0" autoFilter="0" pivotTables="0"/>
  <mergeCells count="1">
    <mergeCell ref="A2:N2"/>
  </mergeCells>
  <pageMargins left="0.7" right="0.7" top="0.75" bottom="0.75" header="0.3" footer="0.3"/>
  <pageSetup paperSize="9" orientation="portrait" horizontalDpi="1200" verticalDpi="12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44F76-E128-4783-BBD1-2D2C982224ED}">
  <sheetPr codeName="Sheet5"/>
  <dimension ref="A1:AG454"/>
  <sheetViews>
    <sheetView zoomScaleNormal="100" workbookViewId="0">
      <selection activeCell="E29" sqref="E29"/>
    </sheetView>
  </sheetViews>
  <sheetFormatPr defaultRowHeight="15" x14ac:dyDescent="0.25"/>
  <cols>
    <col min="1" max="1" width="22.140625" bestFit="1" customWidth="1"/>
    <col min="2" max="2" width="12.140625" bestFit="1" customWidth="1"/>
    <col min="3" max="3" width="16.5703125" bestFit="1" customWidth="1"/>
    <col min="5" max="5" width="20.140625" bestFit="1" customWidth="1"/>
    <col min="6" max="6" width="16.5703125" bestFit="1" customWidth="1"/>
    <col min="8" max="8" width="24.140625" bestFit="1" customWidth="1"/>
    <col min="9" max="9" width="28.42578125" bestFit="1" customWidth="1"/>
    <col min="10" max="10" width="6.85546875" customWidth="1"/>
    <col min="11" max="11" width="23.140625" bestFit="1" customWidth="1"/>
    <col min="12" max="12" width="62" bestFit="1" customWidth="1"/>
    <col min="13" max="13" width="12" bestFit="1" customWidth="1"/>
    <col min="15" max="15" width="23" bestFit="1" customWidth="1"/>
    <col min="16" max="16" width="34.42578125" bestFit="1" customWidth="1"/>
    <col min="17" max="17" width="12" bestFit="1" customWidth="1"/>
    <col min="19" max="19" width="23" bestFit="1" customWidth="1"/>
    <col min="20" max="20" width="8.28515625" bestFit="1" customWidth="1"/>
    <col min="21" max="21" width="12" bestFit="1" customWidth="1"/>
    <col min="23" max="23" width="23" bestFit="1" customWidth="1"/>
    <col min="24" max="24" width="8.28515625" bestFit="1" customWidth="1"/>
    <col min="25" max="25" width="12" bestFit="1" customWidth="1"/>
    <col min="27" max="27" width="23" bestFit="1" customWidth="1"/>
    <col min="28" max="28" width="8.28515625" bestFit="1" customWidth="1"/>
    <col min="29" max="29" width="12" bestFit="1" customWidth="1"/>
    <col min="31" max="31" width="23" bestFit="1" customWidth="1"/>
    <col min="32" max="32" width="8.28515625" bestFit="1" customWidth="1"/>
    <col min="33" max="33" width="9.85546875" bestFit="1" customWidth="1"/>
  </cols>
  <sheetData>
    <row r="1" spans="1:33" x14ac:dyDescent="0.25">
      <c r="A1" t="s">
        <v>222</v>
      </c>
    </row>
    <row r="2" spans="1:33" x14ac:dyDescent="0.25">
      <c r="A2" s="124" t="s">
        <v>1</v>
      </c>
    </row>
    <row r="3" spans="1:33" x14ac:dyDescent="0.25">
      <c r="A3" s="122" t="s">
        <v>223</v>
      </c>
      <c r="B3" s="122"/>
      <c r="C3" s="122"/>
      <c r="E3" s="123" t="s">
        <v>224</v>
      </c>
      <c r="F3" s="123"/>
      <c r="H3" s="175" t="s">
        <v>225</v>
      </c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  <c r="X3" s="175"/>
      <c r="Y3" s="175"/>
      <c r="Z3" s="175"/>
      <c r="AA3" s="175"/>
      <c r="AB3" s="175"/>
      <c r="AC3" s="175"/>
      <c r="AD3" s="175"/>
      <c r="AE3" s="175"/>
      <c r="AF3" s="175"/>
      <c r="AG3" s="175"/>
    </row>
    <row r="4" spans="1:33" x14ac:dyDescent="0.25">
      <c r="A4" s="159" t="s">
        <v>5</v>
      </c>
      <c r="B4" s="159" t="s">
        <v>18</v>
      </c>
      <c r="C4" t="s">
        <v>227</v>
      </c>
      <c r="E4" s="159" t="s">
        <v>25</v>
      </c>
      <c r="F4" t="s">
        <v>227</v>
      </c>
      <c r="H4" s="159" t="s">
        <v>5</v>
      </c>
      <c r="I4" s="159" t="s">
        <v>228</v>
      </c>
      <c r="K4" s="159" t="s">
        <v>5</v>
      </c>
      <c r="L4" s="159" t="s">
        <v>229</v>
      </c>
      <c r="M4" s="159" t="s">
        <v>230</v>
      </c>
      <c r="O4" s="159" t="s">
        <v>5</v>
      </c>
      <c r="P4" s="159" t="s">
        <v>231</v>
      </c>
      <c r="Q4" s="159" t="s">
        <v>232</v>
      </c>
      <c r="S4" s="159" t="s">
        <v>5</v>
      </c>
      <c r="T4" s="159" t="s">
        <v>233</v>
      </c>
      <c r="U4" s="159" t="s">
        <v>234</v>
      </c>
      <c r="W4" s="159" t="s">
        <v>5</v>
      </c>
      <c r="X4" s="159" t="s">
        <v>235</v>
      </c>
      <c r="Y4" s="159" t="s">
        <v>236</v>
      </c>
      <c r="AA4" s="159" t="s">
        <v>5</v>
      </c>
      <c r="AB4" s="159" t="s">
        <v>237</v>
      </c>
      <c r="AC4" s="159" t="s">
        <v>238</v>
      </c>
      <c r="AE4" s="159" t="s">
        <v>5</v>
      </c>
      <c r="AF4" s="159" t="s">
        <v>239</v>
      </c>
      <c r="AG4" s="159" t="s">
        <v>240</v>
      </c>
    </row>
    <row r="5" spans="1:33" x14ac:dyDescent="0.25">
      <c r="A5" t="s">
        <v>824</v>
      </c>
      <c r="B5" t="s">
        <v>33</v>
      </c>
      <c r="C5" s="205">
        <v>20</v>
      </c>
      <c r="E5" s="81">
        <v>0</v>
      </c>
      <c r="F5" s="205"/>
      <c r="H5">
        <v>0</v>
      </c>
      <c r="K5" t="s">
        <v>27</v>
      </c>
      <c r="L5" t="s">
        <v>283</v>
      </c>
      <c r="M5">
        <v>70</v>
      </c>
      <c r="O5" t="s">
        <v>27</v>
      </c>
      <c r="P5" t="s">
        <v>258</v>
      </c>
      <c r="Q5">
        <v>10.028985507246377</v>
      </c>
      <c r="S5" t="s">
        <v>27</v>
      </c>
      <c r="T5" t="s">
        <v>248</v>
      </c>
      <c r="U5">
        <v>3.0144927536231885</v>
      </c>
      <c r="W5" t="s">
        <v>27</v>
      </c>
      <c r="X5" t="s">
        <v>249</v>
      </c>
      <c r="Y5">
        <v>1.1594202898550725</v>
      </c>
      <c r="AA5" t="s">
        <v>27</v>
      </c>
      <c r="AB5" t="s">
        <v>245</v>
      </c>
      <c r="AC5">
        <v>10.028985507246377</v>
      </c>
      <c r="AE5" t="s">
        <v>27</v>
      </c>
      <c r="AF5" t="s">
        <v>27</v>
      </c>
      <c r="AG5" t="s">
        <v>27</v>
      </c>
    </row>
    <row r="6" spans="1:33" x14ac:dyDescent="0.25">
      <c r="A6" t="s">
        <v>824</v>
      </c>
      <c r="B6" t="s">
        <v>31</v>
      </c>
      <c r="C6" s="205">
        <v>1.2463768115942029</v>
      </c>
      <c r="E6" s="81" t="s">
        <v>28</v>
      </c>
      <c r="F6" s="205"/>
      <c r="H6" t="s">
        <v>28</v>
      </c>
      <c r="I6">
        <v>0</v>
      </c>
      <c r="L6" t="s">
        <v>247</v>
      </c>
      <c r="M6">
        <v>1.6666666666666667</v>
      </c>
      <c r="P6" t="s">
        <v>261</v>
      </c>
      <c r="Q6">
        <v>4.63768115942029</v>
      </c>
      <c r="T6" t="s">
        <v>255</v>
      </c>
      <c r="U6">
        <v>20</v>
      </c>
      <c r="X6" t="s">
        <v>252</v>
      </c>
      <c r="Y6">
        <v>10.202898550724637</v>
      </c>
      <c r="AG6">
        <v>0</v>
      </c>
    </row>
    <row r="7" spans="1:33" x14ac:dyDescent="0.25">
      <c r="A7" t="s">
        <v>824</v>
      </c>
      <c r="B7" t="s">
        <v>32</v>
      </c>
      <c r="C7" s="205">
        <v>3.7391304347826089</v>
      </c>
      <c r="E7" s="81" t="s">
        <v>824</v>
      </c>
      <c r="F7" s="205">
        <v>4</v>
      </c>
      <c r="H7" t="s">
        <v>824</v>
      </c>
      <c r="I7">
        <v>10</v>
      </c>
      <c r="L7" t="s">
        <v>245</v>
      </c>
      <c r="M7">
        <v>10.028985507246377</v>
      </c>
      <c r="P7" t="s">
        <v>264</v>
      </c>
      <c r="Q7">
        <v>20</v>
      </c>
      <c r="T7" t="s">
        <v>259</v>
      </c>
      <c r="U7">
        <v>5</v>
      </c>
      <c r="X7" t="s">
        <v>256</v>
      </c>
      <c r="Y7">
        <v>6.666666666666667</v>
      </c>
      <c r="AE7">
        <v>0</v>
      </c>
      <c r="AF7" t="s">
        <v>27</v>
      </c>
      <c r="AG7">
        <v>0</v>
      </c>
    </row>
    <row r="8" spans="1:33" x14ac:dyDescent="0.25">
      <c r="A8" t="s">
        <v>828</v>
      </c>
      <c r="B8" t="s">
        <v>30</v>
      </c>
      <c r="C8" s="205">
        <v>20</v>
      </c>
      <c r="E8" s="81" t="s">
        <v>828</v>
      </c>
      <c r="F8" s="205">
        <v>0</v>
      </c>
      <c r="H8" t="s">
        <v>828</v>
      </c>
      <c r="I8">
        <v>9.2000000000000011</v>
      </c>
      <c r="L8" t="s">
        <v>276</v>
      </c>
      <c r="M8">
        <v>10.028985507246377</v>
      </c>
      <c r="P8" t="s">
        <v>267</v>
      </c>
      <c r="Q8">
        <v>5</v>
      </c>
      <c r="T8" t="s">
        <v>262</v>
      </c>
      <c r="U8">
        <v>4.9855072463768115</v>
      </c>
      <c r="W8">
        <v>0</v>
      </c>
      <c r="X8" t="s">
        <v>244</v>
      </c>
      <c r="Y8">
        <v>1.1594202898550725</v>
      </c>
      <c r="AE8" t="s">
        <v>28</v>
      </c>
      <c r="AF8" t="s">
        <v>27</v>
      </c>
      <c r="AG8">
        <v>0</v>
      </c>
    </row>
    <row r="9" spans="1:33" x14ac:dyDescent="0.25">
      <c r="A9" t="s">
        <v>828</v>
      </c>
      <c r="B9" t="s">
        <v>29</v>
      </c>
      <c r="C9" s="205">
        <v>10.028985507246377</v>
      </c>
      <c r="E9" s="81" t="s">
        <v>830</v>
      </c>
      <c r="F9" s="205">
        <v>1</v>
      </c>
      <c r="H9" t="s">
        <v>830</v>
      </c>
      <c r="I9">
        <v>9.2000000000000011</v>
      </c>
      <c r="L9" t="s">
        <v>277</v>
      </c>
      <c r="M9">
        <v>15.014492753623188</v>
      </c>
      <c r="P9" t="s">
        <v>268</v>
      </c>
      <c r="Q9">
        <v>4.9855072463768115</v>
      </c>
      <c r="T9" t="s">
        <v>265</v>
      </c>
      <c r="U9">
        <v>4.9855072463768115</v>
      </c>
      <c r="AE9" t="s">
        <v>824</v>
      </c>
      <c r="AF9" t="s">
        <v>27</v>
      </c>
      <c r="AG9">
        <v>0</v>
      </c>
    </row>
    <row r="10" spans="1:33" x14ac:dyDescent="0.25">
      <c r="A10" t="s">
        <v>830</v>
      </c>
      <c r="B10" t="s">
        <v>89</v>
      </c>
      <c r="C10" s="205">
        <v>7.5362318840579707</v>
      </c>
      <c r="E10" s="81" t="s">
        <v>825</v>
      </c>
      <c r="F10" s="205">
        <v>5</v>
      </c>
      <c r="H10" t="s">
        <v>825</v>
      </c>
      <c r="I10">
        <v>10</v>
      </c>
      <c r="L10" t="s">
        <v>278</v>
      </c>
      <c r="M10">
        <v>11.594202898550725</v>
      </c>
      <c r="P10" t="s">
        <v>270</v>
      </c>
      <c r="Q10">
        <v>4.9855072463768115</v>
      </c>
      <c r="S10">
        <v>0</v>
      </c>
      <c r="T10" t="s">
        <v>248</v>
      </c>
      <c r="U10">
        <v>3.0144927536231885</v>
      </c>
      <c r="AE10" t="s">
        <v>828</v>
      </c>
      <c r="AF10" t="s">
        <v>27</v>
      </c>
      <c r="AG10">
        <v>0</v>
      </c>
    </row>
    <row r="11" spans="1:33" x14ac:dyDescent="0.25">
      <c r="A11" t="s">
        <v>825</v>
      </c>
      <c r="B11" t="s">
        <v>34</v>
      </c>
      <c r="C11" s="205">
        <v>5.7971014492753623</v>
      </c>
      <c r="E11" s="81" t="s">
        <v>829</v>
      </c>
      <c r="F11" s="205">
        <v>25.75</v>
      </c>
      <c r="H11" t="s">
        <v>829</v>
      </c>
      <c r="I11">
        <v>10</v>
      </c>
      <c r="L11" t="s">
        <v>279</v>
      </c>
      <c r="M11">
        <v>4.0579710144927539</v>
      </c>
      <c r="P11" t="s">
        <v>272</v>
      </c>
      <c r="Q11">
        <v>10.028985507246377</v>
      </c>
      <c r="S11" t="s">
        <v>832</v>
      </c>
      <c r="T11" t="s">
        <v>243</v>
      </c>
      <c r="U11">
        <v>15.014492753623188</v>
      </c>
      <c r="AE11" t="s">
        <v>830</v>
      </c>
      <c r="AF11" t="s">
        <v>27</v>
      </c>
      <c r="AG11">
        <v>0</v>
      </c>
    </row>
    <row r="12" spans="1:33" x14ac:dyDescent="0.25">
      <c r="A12" t="s">
        <v>825</v>
      </c>
      <c r="B12" t="s">
        <v>32</v>
      </c>
      <c r="C12" s="205">
        <v>0.62318840579710144</v>
      </c>
      <c r="E12" s="81" t="s">
        <v>826</v>
      </c>
      <c r="F12" s="205">
        <v>1</v>
      </c>
      <c r="H12" t="s">
        <v>826</v>
      </c>
      <c r="I12">
        <v>10</v>
      </c>
      <c r="L12" t="s">
        <v>280</v>
      </c>
      <c r="M12">
        <v>4.0579710144927539</v>
      </c>
      <c r="P12" t="s">
        <v>245</v>
      </c>
      <c r="Q12">
        <v>10.028985507246377</v>
      </c>
      <c r="AE12" t="s">
        <v>825</v>
      </c>
      <c r="AF12" t="s">
        <v>27</v>
      </c>
      <c r="AG12">
        <v>0</v>
      </c>
    </row>
    <row r="13" spans="1:33" x14ac:dyDescent="0.25">
      <c r="A13" t="s">
        <v>829</v>
      </c>
      <c r="B13" t="s">
        <v>89</v>
      </c>
      <c r="C13" s="205">
        <v>20</v>
      </c>
      <c r="E13" s="81" t="s">
        <v>827</v>
      </c>
      <c r="F13" s="205">
        <v>5.25</v>
      </c>
      <c r="H13" t="s">
        <v>827</v>
      </c>
      <c r="I13">
        <v>10</v>
      </c>
      <c r="L13" t="s">
        <v>281</v>
      </c>
      <c r="M13">
        <v>7.8</v>
      </c>
      <c r="P13" t="s">
        <v>274</v>
      </c>
      <c r="Q13">
        <v>2.2028985507246377</v>
      </c>
      <c r="AE13" t="s">
        <v>829</v>
      </c>
      <c r="AF13" t="s">
        <v>27</v>
      </c>
      <c r="AG13">
        <v>0</v>
      </c>
    </row>
    <row r="14" spans="1:33" x14ac:dyDescent="0.25">
      <c r="A14" t="s">
        <v>826</v>
      </c>
      <c r="B14" t="s">
        <v>95</v>
      </c>
      <c r="C14" s="205">
        <v>20</v>
      </c>
      <c r="E14" s="81" t="s">
        <v>831</v>
      </c>
      <c r="F14" s="205">
        <v>8.25</v>
      </c>
      <c r="H14" t="s">
        <v>831</v>
      </c>
      <c r="I14">
        <v>10</v>
      </c>
      <c r="L14" t="s">
        <v>282</v>
      </c>
      <c r="M14">
        <v>3.4782608695652173</v>
      </c>
      <c r="O14">
        <v>0</v>
      </c>
      <c r="P14" t="s">
        <v>254</v>
      </c>
      <c r="Q14">
        <v>15.014492753623188</v>
      </c>
      <c r="AE14" t="s">
        <v>826</v>
      </c>
      <c r="AF14" t="s">
        <v>27</v>
      </c>
      <c r="AG14">
        <v>0</v>
      </c>
    </row>
    <row r="15" spans="1:33" x14ac:dyDescent="0.25">
      <c r="A15" t="s">
        <v>826</v>
      </c>
      <c r="B15" t="s">
        <v>107</v>
      </c>
      <c r="C15" s="205">
        <v>32.463768115942031</v>
      </c>
      <c r="E15" s="81" t="s">
        <v>832</v>
      </c>
      <c r="F15" s="205">
        <v>3.75</v>
      </c>
      <c r="H15" t="s">
        <v>832</v>
      </c>
      <c r="I15">
        <v>10</v>
      </c>
      <c r="L15" t="s">
        <v>284</v>
      </c>
      <c r="M15">
        <v>3.0144927536231885</v>
      </c>
      <c r="O15" t="s">
        <v>832</v>
      </c>
      <c r="P15" t="s">
        <v>242</v>
      </c>
      <c r="Q15">
        <v>4.0579710144927539</v>
      </c>
      <c r="AE15" t="s">
        <v>827</v>
      </c>
      <c r="AF15" t="s">
        <v>27</v>
      </c>
      <c r="AG15">
        <v>0</v>
      </c>
    </row>
    <row r="16" spans="1:33" x14ac:dyDescent="0.25">
      <c r="A16" t="s">
        <v>826</v>
      </c>
      <c r="B16" t="s">
        <v>128</v>
      </c>
      <c r="C16" s="205">
        <v>0.8</v>
      </c>
      <c r="E16" s="81" t="s">
        <v>840</v>
      </c>
      <c r="F16" s="205">
        <v>0</v>
      </c>
      <c r="H16" t="s">
        <v>840</v>
      </c>
      <c r="I16">
        <v>10</v>
      </c>
      <c r="L16" t="s">
        <v>285</v>
      </c>
      <c r="M16">
        <v>1.1594202898550725</v>
      </c>
      <c r="O16" t="s">
        <v>838</v>
      </c>
      <c r="P16" t="s">
        <v>247</v>
      </c>
      <c r="Q16">
        <v>1.6666666666666667</v>
      </c>
      <c r="AE16" t="s">
        <v>831</v>
      </c>
      <c r="AF16" t="s">
        <v>27</v>
      </c>
      <c r="AG16">
        <v>0</v>
      </c>
    </row>
    <row r="17" spans="1:33" x14ac:dyDescent="0.25">
      <c r="A17" t="s">
        <v>826</v>
      </c>
      <c r="B17" t="s">
        <v>105</v>
      </c>
      <c r="C17" s="205">
        <v>0.62318840579710144</v>
      </c>
      <c r="E17" s="81" t="s">
        <v>835</v>
      </c>
      <c r="F17" s="205">
        <v>0</v>
      </c>
      <c r="H17" t="s">
        <v>835</v>
      </c>
      <c r="I17">
        <v>10</v>
      </c>
      <c r="L17" t="s">
        <v>286</v>
      </c>
      <c r="M17">
        <v>4.9855072463768115</v>
      </c>
      <c r="O17" t="s">
        <v>834</v>
      </c>
      <c r="P17" t="s">
        <v>251</v>
      </c>
      <c r="Q17">
        <v>8.1159420289855078</v>
      </c>
      <c r="AE17" t="s">
        <v>832</v>
      </c>
      <c r="AF17" t="s">
        <v>27</v>
      </c>
      <c r="AG17">
        <v>0</v>
      </c>
    </row>
    <row r="18" spans="1:33" x14ac:dyDescent="0.25">
      <c r="A18" t="s">
        <v>826</v>
      </c>
      <c r="B18" t="s">
        <v>40</v>
      </c>
      <c r="C18" s="205">
        <v>0.62318840579710144</v>
      </c>
      <c r="E18" s="81" t="s">
        <v>841</v>
      </c>
      <c r="F18" s="205">
        <v>5</v>
      </c>
      <c r="H18" t="s">
        <v>841</v>
      </c>
      <c r="I18">
        <v>10</v>
      </c>
      <c r="L18" t="s">
        <v>287</v>
      </c>
      <c r="M18">
        <v>2</v>
      </c>
      <c r="AE18" t="s">
        <v>840</v>
      </c>
      <c r="AF18" t="s">
        <v>27</v>
      </c>
      <c r="AG18">
        <v>0</v>
      </c>
    </row>
    <row r="19" spans="1:33" x14ac:dyDescent="0.25">
      <c r="A19" t="s">
        <v>827</v>
      </c>
      <c r="B19" t="s">
        <v>89</v>
      </c>
      <c r="C19" s="205">
        <v>12.463768115942029</v>
      </c>
      <c r="E19" s="81" t="s">
        <v>838</v>
      </c>
      <c r="F19" s="205">
        <v>7.5</v>
      </c>
      <c r="H19" t="s">
        <v>838</v>
      </c>
      <c r="I19">
        <v>10</v>
      </c>
      <c r="L19" t="s">
        <v>288</v>
      </c>
      <c r="M19">
        <v>10</v>
      </c>
      <c r="AE19" t="s">
        <v>835</v>
      </c>
      <c r="AF19" t="s">
        <v>27</v>
      </c>
      <c r="AG19">
        <v>0</v>
      </c>
    </row>
    <row r="20" spans="1:33" x14ac:dyDescent="0.25">
      <c r="A20" t="s">
        <v>827</v>
      </c>
      <c r="B20" t="s">
        <v>95</v>
      </c>
      <c r="C20" s="205">
        <v>12.463768115942029</v>
      </c>
      <c r="E20" s="81" t="s">
        <v>836</v>
      </c>
      <c r="F20" s="205">
        <v>2.5</v>
      </c>
      <c r="H20" t="s">
        <v>836</v>
      </c>
      <c r="I20">
        <v>10</v>
      </c>
      <c r="L20" t="s">
        <v>289</v>
      </c>
      <c r="M20">
        <v>10</v>
      </c>
      <c r="AE20" t="s">
        <v>841</v>
      </c>
      <c r="AF20" t="s">
        <v>27</v>
      </c>
      <c r="AG20">
        <v>0</v>
      </c>
    </row>
    <row r="21" spans="1:33" x14ac:dyDescent="0.25">
      <c r="A21" t="s">
        <v>827</v>
      </c>
      <c r="B21" t="s">
        <v>32</v>
      </c>
      <c r="C21" s="205">
        <v>3.1159420289855073</v>
      </c>
      <c r="E21" s="81" t="s">
        <v>837</v>
      </c>
      <c r="F21" s="205">
        <v>0</v>
      </c>
      <c r="H21" t="s">
        <v>837</v>
      </c>
      <c r="I21">
        <v>10</v>
      </c>
      <c r="L21" t="s">
        <v>290</v>
      </c>
      <c r="M21">
        <v>40</v>
      </c>
      <c r="AE21" t="s">
        <v>838</v>
      </c>
      <c r="AF21" t="s">
        <v>27</v>
      </c>
      <c r="AG21">
        <v>0</v>
      </c>
    </row>
    <row r="22" spans="1:33" x14ac:dyDescent="0.25">
      <c r="A22" t="s">
        <v>827</v>
      </c>
      <c r="B22" t="s">
        <v>40</v>
      </c>
      <c r="C22" s="205">
        <v>1.2463768115942029</v>
      </c>
      <c r="E22" s="81" t="s">
        <v>834</v>
      </c>
      <c r="F22" s="205">
        <v>18.5</v>
      </c>
      <c r="H22" t="s">
        <v>834</v>
      </c>
      <c r="I22">
        <v>9.6</v>
      </c>
      <c r="L22" t="s">
        <v>291</v>
      </c>
      <c r="M22">
        <v>4.9855072463768115</v>
      </c>
      <c r="AE22" t="s">
        <v>836</v>
      </c>
      <c r="AF22" t="s">
        <v>27</v>
      </c>
      <c r="AG22">
        <v>0</v>
      </c>
    </row>
    <row r="23" spans="1:33" x14ac:dyDescent="0.25">
      <c r="A23" t="s">
        <v>831</v>
      </c>
      <c r="B23" t="s">
        <v>95</v>
      </c>
      <c r="C23" s="205">
        <v>7.5362318840579707</v>
      </c>
      <c r="E23" s="81" t="s">
        <v>839</v>
      </c>
      <c r="F23" s="205">
        <v>4</v>
      </c>
      <c r="H23" t="s">
        <v>839</v>
      </c>
      <c r="I23">
        <v>8</v>
      </c>
      <c r="L23" t="s">
        <v>292</v>
      </c>
      <c r="M23">
        <v>6.0289855072463769</v>
      </c>
      <c r="AE23" t="s">
        <v>837</v>
      </c>
      <c r="AF23" t="s">
        <v>27</v>
      </c>
      <c r="AG23">
        <v>0</v>
      </c>
    </row>
    <row r="24" spans="1:33" x14ac:dyDescent="0.25">
      <c r="A24" t="s">
        <v>831</v>
      </c>
      <c r="B24" t="s">
        <v>169</v>
      </c>
      <c r="C24" s="205">
        <v>14.4</v>
      </c>
      <c r="E24" s="81" t="s">
        <v>833</v>
      </c>
      <c r="F24" s="205">
        <v>0</v>
      </c>
      <c r="H24" t="s">
        <v>833</v>
      </c>
      <c r="I24">
        <v>10</v>
      </c>
      <c r="L24" t="s">
        <v>293</v>
      </c>
      <c r="M24">
        <v>10.028985507246377</v>
      </c>
      <c r="AE24" t="s">
        <v>834</v>
      </c>
      <c r="AF24" t="s">
        <v>27</v>
      </c>
      <c r="AG24">
        <v>0</v>
      </c>
    </row>
    <row r="25" spans="1:33" x14ac:dyDescent="0.25">
      <c r="A25" t="s">
        <v>832</v>
      </c>
      <c r="B25" t="s">
        <v>107</v>
      </c>
      <c r="C25" s="205">
        <v>7.5362318840579707</v>
      </c>
      <c r="E25" s="81" t="s">
        <v>27</v>
      </c>
      <c r="F25" s="205"/>
      <c r="H25" t="s">
        <v>27</v>
      </c>
      <c r="I25" t="s">
        <v>27</v>
      </c>
      <c r="L25" t="s">
        <v>294</v>
      </c>
      <c r="M25">
        <v>4.9855072463768115</v>
      </c>
      <c r="AE25" t="s">
        <v>839</v>
      </c>
      <c r="AF25" t="s">
        <v>27</v>
      </c>
      <c r="AG25">
        <v>0</v>
      </c>
    </row>
    <row r="26" spans="1:33" x14ac:dyDescent="0.25">
      <c r="A26" t="s">
        <v>832</v>
      </c>
      <c r="B26" t="s">
        <v>105</v>
      </c>
      <c r="C26" s="205">
        <v>2.4927536231884058</v>
      </c>
      <c r="H26" t="s">
        <v>27</v>
      </c>
      <c r="I26">
        <v>0</v>
      </c>
      <c r="K26">
        <v>0</v>
      </c>
      <c r="L26" t="s">
        <v>269</v>
      </c>
      <c r="M26">
        <v>10.028985507246377</v>
      </c>
      <c r="AE26" t="s">
        <v>833</v>
      </c>
      <c r="AF26" t="s">
        <v>27</v>
      </c>
      <c r="AG26">
        <v>0</v>
      </c>
    </row>
    <row r="27" spans="1:33" x14ac:dyDescent="0.25">
      <c r="A27" t="s">
        <v>835</v>
      </c>
      <c r="B27" t="s">
        <v>169</v>
      </c>
      <c r="C27" s="205">
        <v>1.6</v>
      </c>
      <c r="L27" t="s">
        <v>271</v>
      </c>
      <c r="M27">
        <v>40</v>
      </c>
    </row>
    <row r="28" spans="1:33" x14ac:dyDescent="0.25">
      <c r="A28" t="s">
        <v>838</v>
      </c>
      <c r="B28" t="s">
        <v>176</v>
      </c>
      <c r="C28" s="205">
        <v>16</v>
      </c>
      <c r="L28" t="s">
        <v>245</v>
      </c>
      <c r="M28">
        <v>10.028985507246377</v>
      </c>
    </row>
    <row r="29" spans="1:33" x14ac:dyDescent="0.25">
      <c r="A29" t="s">
        <v>836</v>
      </c>
      <c r="B29" t="s">
        <v>153</v>
      </c>
      <c r="C29" s="205">
        <v>14.4</v>
      </c>
      <c r="L29" t="s">
        <v>273</v>
      </c>
      <c r="M29">
        <v>5.2173913043478262</v>
      </c>
    </row>
    <row r="30" spans="1:33" x14ac:dyDescent="0.25">
      <c r="A30" t="s">
        <v>836</v>
      </c>
      <c r="B30" t="s">
        <v>172</v>
      </c>
      <c r="C30" s="205">
        <v>16</v>
      </c>
      <c r="L30" t="s">
        <v>275</v>
      </c>
      <c r="M30">
        <v>4.63768115942029</v>
      </c>
    </row>
    <row r="31" spans="1:33" x14ac:dyDescent="0.25">
      <c r="A31" t="s">
        <v>837</v>
      </c>
      <c r="B31" t="s">
        <v>153</v>
      </c>
      <c r="C31" s="205">
        <v>1.6</v>
      </c>
      <c r="K31" t="s">
        <v>28</v>
      </c>
      <c r="L31" t="s">
        <v>247</v>
      </c>
      <c r="M31">
        <v>1.6666666666666667</v>
      </c>
    </row>
    <row r="32" spans="1:33" x14ac:dyDescent="0.25">
      <c r="A32" t="s">
        <v>837</v>
      </c>
      <c r="B32" t="s">
        <v>174</v>
      </c>
      <c r="C32" s="205">
        <v>0</v>
      </c>
      <c r="K32" t="s">
        <v>824</v>
      </c>
      <c r="L32" t="s">
        <v>241</v>
      </c>
      <c r="M32">
        <v>2.89</v>
      </c>
    </row>
    <row r="33" spans="1:13" x14ac:dyDescent="0.25">
      <c r="A33" t="s">
        <v>834</v>
      </c>
      <c r="B33" t="s">
        <v>128</v>
      </c>
      <c r="C33" s="205">
        <v>3.2</v>
      </c>
      <c r="K33" t="s">
        <v>825</v>
      </c>
      <c r="L33" t="s">
        <v>246</v>
      </c>
      <c r="M33">
        <v>15.014492753623188</v>
      </c>
    </row>
    <row r="34" spans="1:13" x14ac:dyDescent="0.25">
      <c r="A34" t="s">
        <v>834</v>
      </c>
      <c r="B34" t="s">
        <v>47</v>
      </c>
      <c r="C34" s="205">
        <v>8.8115942028985508</v>
      </c>
      <c r="K34" t="s">
        <v>832</v>
      </c>
      <c r="L34" t="s">
        <v>250</v>
      </c>
      <c r="M34">
        <v>40</v>
      </c>
    </row>
    <row r="35" spans="1:13" x14ac:dyDescent="0.25">
      <c r="A35" t="s">
        <v>834</v>
      </c>
      <c r="B35" t="s">
        <v>105</v>
      </c>
      <c r="C35" s="205">
        <v>1.2463768115942029</v>
      </c>
      <c r="K35" t="s">
        <v>835</v>
      </c>
      <c r="L35" t="s">
        <v>253</v>
      </c>
      <c r="M35">
        <v>8.1159420289855078</v>
      </c>
    </row>
    <row r="36" spans="1:13" x14ac:dyDescent="0.25">
      <c r="A36" t="s">
        <v>839</v>
      </c>
      <c r="B36" t="s">
        <v>47</v>
      </c>
      <c r="C36" s="205">
        <v>7.1884057971014492</v>
      </c>
      <c r="K36" t="s">
        <v>841</v>
      </c>
      <c r="L36" t="s">
        <v>257</v>
      </c>
      <c r="M36">
        <v>10.028985507246377</v>
      </c>
    </row>
    <row r="37" spans="1:13" x14ac:dyDescent="0.25">
      <c r="A37" t="s">
        <v>833</v>
      </c>
      <c r="B37" t="s">
        <v>128</v>
      </c>
      <c r="C37" s="205">
        <v>1.6</v>
      </c>
      <c r="K37" t="s">
        <v>838</v>
      </c>
      <c r="L37" t="s">
        <v>260</v>
      </c>
      <c r="M37">
        <v>5</v>
      </c>
    </row>
    <row r="38" spans="1:13" x14ac:dyDescent="0.25">
      <c r="A38" t="s">
        <v>833</v>
      </c>
      <c r="B38" t="s">
        <v>170</v>
      </c>
      <c r="C38" s="205">
        <v>16</v>
      </c>
      <c r="K38" t="s">
        <v>834</v>
      </c>
      <c r="L38" t="s">
        <v>263</v>
      </c>
      <c r="M38">
        <v>4.0579710144927539</v>
      </c>
    </row>
    <row r="39" spans="1:13" x14ac:dyDescent="0.25">
      <c r="A39" t="s">
        <v>27</v>
      </c>
      <c r="B39" t="s">
        <v>27</v>
      </c>
      <c r="C39" s="205">
        <v>0</v>
      </c>
      <c r="K39" t="s">
        <v>839</v>
      </c>
      <c r="L39" t="s">
        <v>266</v>
      </c>
      <c r="M39">
        <v>10.028985507246377</v>
      </c>
    </row>
    <row r="454" spans="1:1" x14ac:dyDescent="0.25">
      <c r="A454" s="163"/>
    </row>
  </sheetData>
  <sheetProtection formatCells="0" autoFilter="0" pivotTables="0"/>
  <mergeCells count="1">
    <mergeCell ref="H3:AG3"/>
  </mergeCells>
  <pageMargins left="0.7" right="0.7" top="0.75" bottom="0.75" header="0.3" footer="0.3"/>
  <pageSetup paperSize="9" orientation="portrait" r:id="rId1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D8783-BC95-4E80-AA16-6A586948C757}">
  <sheetPr codeName="Sheet6"/>
  <dimension ref="A1:BQ67"/>
  <sheetViews>
    <sheetView zoomScale="90" zoomScaleNormal="90"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C39" sqref="C39"/>
    </sheetView>
  </sheetViews>
  <sheetFormatPr defaultColWidth="8.7109375" defaultRowHeight="15" x14ac:dyDescent="0.25"/>
  <cols>
    <col min="1" max="1" width="24.42578125" style="105" customWidth="1"/>
    <col min="2" max="2" width="25.140625" style="105" customWidth="1"/>
    <col min="3" max="3" width="30.85546875" style="105" customWidth="1"/>
    <col min="4" max="8" width="8" hidden="1" customWidth="1"/>
    <col min="9" max="18" width="15.140625" customWidth="1"/>
    <col min="19" max="19" width="15.140625" style="105" customWidth="1"/>
    <col min="20" max="21" width="10.7109375" style="105" customWidth="1"/>
    <col min="22" max="22" width="8" customWidth="1"/>
    <col min="23" max="23" width="19.140625" style="105" customWidth="1"/>
    <col min="24" max="25" width="8" customWidth="1"/>
    <col min="26" max="26" width="8.140625" style="105" customWidth="1"/>
    <col min="27" max="28" width="8.140625" customWidth="1"/>
    <col min="29" max="29" width="8.140625" style="105" customWidth="1"/>
    <col min="30" max="31" width="8.140625" customWidth="1"/>
    <col min="32" max="32" width="8" style="105" customWidth="1"/>
    <col min="33" max="34" width="8" customWidth="1"/>
    <col min="35" max="35" width="8" style="105" customWidth="1"/>
    <col min="36" max="37" width="8" customWidth="1"/>
    <col min="38" max="38" width="8" style="105" customWidth="1"/>
    <col min="39" max="40" width="8" customWidth="1"/>
    <col min="41" max="41" width="8" style="105" customWidth="1"/>
    <col min="42" max="43" width="8" customWidth="1"/>
    <col min="44" max="44" width="8" style="105" customWidth="1"/>
    <col min="45" max="46" width="8" customWidth="1"/>
    <col min="47" max="47" width="16.28515625" style="105" customWidth="1"/>
    <col min="48" max="49" width="16.28515625" customWidth="1"/>
    <col min="50" max="50" width="12.42578125" style="105" customWidth="1"/>
    <col min="51" max="51" width="9.5703125" style="105" customWidth="1"/>
    <col min="52" max="52" width="12.140625" style="105" customWidth="1"/>
    <col min="53" max="54" width="8" customWidth="1"/>
    <col min="55" max="55" width="11.42578125" style="105" customWidth="1"/>
    <col min="56" max="56" width="9.42578125" style="105" customWidth="1"/>
    <col min="57" max="57" width="12.5703125" style="105" customWidth="1"/>
    <col min="58" max="58" width="11.5703125" customWidth="1"/>
    <col min="59" max="59" width="8.85546875" customWidth="1"/>
    <col min="60" max="60" width="8" style="105" customWidth="1"/>
    <col min="61" max="62" width="8" customWidth="1"/>
    <col min="63" max="63" width="10.140625" style="105" customWidth="1"/>
    <col min="64" max="65" width="12.28515625" style="105" customWidth="1"/>
    <col min="66" max="66" width="10.42578125" customWidth="1"/>
    <col min="67" max="67" width="8" style="52" customWidth="1"/>
    <col min="68" max="68" width="11.140625" style="105" customWidth="1"/>
    <col min="69" max="69" width="11.140625" customWidth="1"/>
  </cols>
  <sheetData>
    <row r="1" spans="1:69" ht="57.95" customHeight="1" x14ac:dyDescent="0.25">
      <c r="A1" s="108"/>
      <c r="B1" s="56" t="s">
        <v>295</v>
      </c>
      <c r="C1" s="107"/>
      <c r="D1" s="51"/>
      <c r="E1" s="51"/>
      <c r="F1" s="51"/>
      <c r="G1" s="51"/>
      <c r="H1" s="51"/>
      <c r="I1" s="182" t="s">
        <v>19</v>
      </c>
      <c r="J1" s="182"/>
      <c r="K1" s="184" t="s">
        <v>201</v>
      </c>
      <c r="L1" s="184"/>
      <c r="M1" s="180" t="s">
        <v>200</v>
      </c>
      <c r="N1" s="180"/>
      <c r="O1" s="191" t="s">
        <v>202</v>
      </c>
      <c r="P1" s="191"/>
      <c r="Q1" s="189" t="s">
        <v>203</v>
      </c>
      <c r="R1" s="190"/>
      <c r="S1" s="145"/>
      <c r="T1" s="183" t="s">
        <v>296</v>
      </c>
      <c r="U1" s="184"/>
      <c r="V1" s="184"/>
      <c r="W1" s="184"/>
      <c r="X1" s="185"/>
      <c r="Y1" s="186"/>
      <c r="Z1" s="180" t="s">
        <v>297</v>
      </c>
      <c r="AA1" s="180"/>
      <c r="AB1" s="180"/>
      <c r="AC1" s="180" t="s">
        <v>298</v>
      </c>
      <c r="AD1" s="176"/>
      <c r="AE1" s="176"/>
      <c r="AF1" s="180" t="s">
        <v>299</v>
      </c>
      <c r="AG1" s="176"/>
      <c r="AH1" s="176"/>
      <c r="AI1" s="176" t="s">
        <v>300</v>
      </c>
      <c r="AJ1" s="176"/>
      <c r="AK1" s="176"/>
      <c r="AL1" s="176" t="s">
        <v>301</v>
      </c>
      <c r="AM1" s="176"/>
      <c r="AN1" s="176"/>
      <c r="AO1" s="177" t="s">
        <v>302</v>
      </c>
      <c r="AP1" s="178"/>
      <c r="AQ1" s="179"/>
      <c r="AR1" s="177" t="s">
        <v>303</v>
      </c>
      <c r="AS1" s="178"/>
      <c r="AT1" s="179"/>
      <c r="AU1" s="180" t="s">
        <v>304</v>
      </c>
      <c r="AV1" s="181"/>
      <c r="AW1" s="181"/>
      <c r="AX1" s="195" t="s">
        <v>305</v>
      </c>
      <c r="AY1" s="178"/>
      <c r="AZ1" s="178"/>
      <c r="BA1" s="178"/>
      <c r="BB1" s="179"/>
      <c r="BC1" s="195" t="s">
        <v>306</v>
      </c>
      <c r="BD1" s="196"/>
      <c r="BE1" s="196"/>
      <c r="BF1" s="196"/>
      <c r="BG1" s="197"/>
      <c r="BH1" s="180" t="s">
        <v>307</v>
      </c>
      <c r="BI1" s="181"/>
      <c r="BJ1" s="181"/>
      <c r="BK1" s="192" t="s">
        <v>308</v>
      </c>
      <c r="BL1" s="193"/>
      <c r="BM1" s="193"/>
      <c r="BN1" s="193"/>
      <c r="BO1" s="194"/>
      <c r="BP1" s="187" t="s">
        <v>309</v>
      </c>
      <c r="BQ1" s="188"/>
    </row>
    <row r="2" spans="1:69" s="3" customFormat="1" ht="75" x14ac:dyDescent="0.25">
      <c r="A2" s="6" t="s">
        <v>18</v>
      </c>
      <c r="B2" s="6" t="s">
        <v>214</v>
      </c>
      <c r="C2" s="6" t="s">
        <v>5</v>
      </c>
      <c r="D2" s="58" t="s">
        <v>310</v>
      </c>
      <c r="E2" s="58" t="s">
        <v>311</v>
      </c>
      <c r="F2" s="58" t="s">
        <v>312</v>
      </c>
      <c r="G2" s="58" t="s">
        <v>313</v>
      </c>
      <c r="H2" s="58" t="s">
        <v>314</v>
      </c>
      <c r="I2" s="7" t="s">
        <v>315</v>
      </c>
      <c r="J2" s="7" t="s">
        <v>226</v>
      </c>
      <c r="K2" s="9" t="s">
        <v>316</v>
      </c>
      <c r="L2" s="9" t="s">
        <v>317</v>
      </c>
      <c r="M2" s="13" t="s">
        <v>318</v>
      </c>
      <c r="N2" s="13" t="s">
        <v>319</v>
      </c>
      <c r="O2" s="15" t="s">
        <v>320</v>
      </c>
      <c r="P2" s="15" t="s">
        <v>321</v>
      </c>
      <c r="Q2" s="11" t="s">
        <v>322</v>
      </c>
      <c r="R2" s="17" t="s">
        <v>323</v>
      </c>
      <c r="S2" s="146" t="s">
        <v>324</v>
      </c>
      <c r="T2" s="2" t="s">
        <v>325</v>
      </c>
      <c r="U2" s="2" t="s">
        <v>326</v>
      </c>
      <c r="V2" s="63" t="s">
        <v>327</v>
      </c>
      <c r="W2" s="2" t="s">
        <v>328</v>
      </c>
      <c r="X2" s="8" t="s">
        <v>329</v>
      </c>
      <c r="Y2" s="19" t="s">
        <v>330</v>
      </c>
      <c r="Z2" s="2" t="s">
        <v>331</v>
      </c>
      <c r="AA2" s="8" t="s">
        <v>332</v>
      </c>
      <c r="AB2" s="8" t="s">
        <v>330</v>
      </c>
      <c r="AC2" s="2" t="s">
        <v>331</v>
      </c>
      <c r="AD2" s="8" t="s">
        <v>333</v>
      </c>
      <c r="AE2" s="8" t="s">
        <v>330</v>
      </c>
      <c r="AF2" s="2" t="s">
        <v>331</v>
      </c>
      <c r="AG2" s="8" t="s">
        <v>334</v>
      </c>
      <c r="AH2" s="8" t="s">
        <v>330</v>
      </c>
      <c r="AI2" s="2" t="s">
        <v>331</v>
      </c>
      <c r="AJ2" s="8" t="s">
        <v>333</v>
      </c>
      <c r="AK2" s="8" t="s">
        <v>330</v>
      </c>
      <c r="AL2" s="2" t="s">
        <v>331</v>
      </c>
      <c r="AM2" s="8" t="s">
        <v>332</v>
      </c>
      <c r="AN2" s="8" t="s">
        <v>330</v>
      </c>
      <c r="AO2" s="2" t="s">
        <v>331</v>
      </c>
      <c r="AP2" s="8" t="s">
        <v>329</v>
      </c>
      <c r="AQ2" s="8" t="s">
        <v>330</v>
      </c>
      <c r="AR2" s="2" t="s">
        <v>331</v>
      </c>
      <c r="AS2" s="8" t="s">
        <v>329</v>
      </c>
      <c r="AT2" s="8" t="s">
        <v>330</v>
      </c>
      <c r="AU2" s="2" t="s">
        <v>331</v>
      </c>
      <c r="AV2" s="8" t="s">
        <v>329</v>
      </c>
      <c r="AW2" s="8" t="s">
        <v>330</v>
      </c>
      <c r="AX2" s="2" t="s">
        <v>335</v>
      </c>
      <c r="AY2" s="2" t="s">
        <v>336</v>
      </c>
      <c r="AZ2" s="2" t="s">
        <v>337</v>
      </c>
      <c r="BA2" s="8" t="s">
        <v>338</v>
      </c>
      <c r="BB2" s="8" t="s">
        <v>330</v>
      </c>
      <c r="BC2" s="2" t="s">
        <v>335</v>
      </c>
      <c r="BD2" s="2" t="s">
        <v>339</v>
      </c>
      <c r="BE2" s="2" t="s">
        <v>340</v>
      </c>
      <c r="BF2" s="8" t="s">
        <v>341</v>
      </c>
      <c r="BG2" s="8" t="s">
        <v>330</v>
      </c>
      <c r="BH2" s="2" t="s">
        <v>331</v>
      </c>
      <c r="BI2" s="8" t="s">
        <v>329</v>
      </c>
      <c r="BJ2" s="8" t="s">
        <v>330</v>
      </c>
      <c r="BK2" s="57" t="s">
        <v>342</v>
      </c>
      <c r="BL2" s="2" t="s">
        <v>343</v>
      </c>
      <c r="BM2" s="63" t="s">
        <v>344</v>
      </c>
      <c r="BN2" s="8" t="s">
        <v>345</v>
      </c>
      <c r="BO2" s="19" t="s">
        <v>330</v>
      </c>
      <c r="BP2" s="2" t="s">
        <v>346</v>
      </c>
      <c r="BQ2" s="19" t="s">
        <v>330</v>
      </c>
    </row>
    <row r="3" spans="1:69" x14ac:dyDescent="0.25">
      <c r="A3" s="105" t="s">
        <v>30</v>
      </c>
      <c r="B3" s="105" t="s">
        <v>221</v>
      </c>
      <c r="C3" s="105" t="s">
        <v>828</v>
      </c>
      <c r="D3">
        <f>_xlfn.XLOOKUP(A3,Unit_Codes[Unit Codes],Unit_Codes[Enrolment '# (29.04.24)],"",0)</f>
        <v>395</v>
      </c>
      <c r="E3" t="str">
        <f>IF(T3="Yes",C3,"")</f>
        <v/>
      </c>
      <c r="F3" t="str">
        <f>A3&amp;C3</f>
        <v>CITS2200Dummy, 02, 00000002</v>
      </c>
      <c r="G3">
        <f>COUNTIF($F$3:F3,F3)</f>
        <v>1</v>
      </c>
      <c r="H3" s="52" t="str">
        <f>A3&amp;C3&amp;G3</f>
        <v>CITS2200Dummy, 02, 000000021</v>
      </c>
      <c r="I3" s="5">
        <f>SUM(K3,M3,O3,Q3,S3)</f>
        <v>345</v>
      </c>
      <c r="J3" s="5">
        <f>I3/17.25</f>
        <v>20</v>
      </c>
      <c r="K3" s="10">
        <f>X3</f>
        <v>0</v>
      </c>
      <c r="L3" s="10">
        <f>K3/17.25</f>
        <v>0</v>
      </c>
      <c r="M3" s="14">
        <f>SUM(AA3,AD3,AG3,AJ3,AM3,AP3,AS3,AV3,BA3,BF3,BI3)</f>
        <v>0</v>
      </c>
      <c r="N3" s="14">
        <f>M3/17.25</f>
        <v>0</v>
      </c>
      <c r="O3" s="16">
        <f t="shared" ref="O3" si="0">BN3</f>
        <v>0</v>
      </c>
      <c r="P3" s="16">
        <f>O3/17.25</f>
        <v>0</v>
      </c>
      <c r="Q3" s="12">
        <f t="shared" ref="Q3" si="1">BP3</f>
        <v>0</v>
      </c>
      <c r="R3" s="18">
        <f t="shared" ref="R3" si="2">BQ3</f>
        <v>0</v>
      </c>
      <c r="S3" s="114">
        <v>345</v>
      </c>
      <c r="V3" s="4" t="str">
        <f>IF(AND(T3="Yes",U3&gt;0),(((ROUNDUP(((35+(U3*0.8625))/17.25),1)))),"")</f>
        <v/>
      </c>
      <c r="X3" s="4">
        <f>IFERROR(Y3*17.25,0)</f>
        <v>0</v>
      </c>
      <c r="Y3" s="20">
        <f t="shared" ref="Y3:Y6" si="3">IFERROR(V3*W3,0)</f>
        <v>0</v>
      </c>
      <c r="AA3" s="4">
        <f t="shared" ref="AA3:AA6" si="4">Z3*2</f>
        <v>0</v>
      </c>
      <c r="AB3" s="4">
        <f t="shared" ref="AB3:AB6" si="5">AA3/17.25</f>
        <v>0</v>
      </c>
      <c r="AD3" s="4">
        <f t="shared" ref="AD3:AD6" si="6">AC3*3</f>
        <v>0</v>
      </c>
      <c r="AE3" s="4">
        <f t="shared" ref="AE3:AE6" si="7">AD3/17.25</f>
        <v>0</v>
      </c>
      <c r="AG3" s="4">
        <f t="shared" ref="AG3:AG6" si="8">AF3*4</f>
        <v>0</v>
      </c>
      <c r="AH3" s="4">
        <f t="shared" ref="AH3:AH6" si="9">AG3/17.25</f>
        <v>0</v>
      </c>
      <c r="AI3" s="109"/>
      <c r="AJ3" s="4">
        <f t="shared" ref="AJ3:AJ6" si="10">AI3*3</f>
        <v>0</v>
      </c>
      <c r="AK3" s="4">
        <f t="shared" ref="AK3:AK6" si="11">AJ3/17.25</f>
        <v>0</v>
      </c>
      <c r="AM3" s="4">
        <f t="shared" ref="AM3:AM6" si="12">AL3*2</f>
        <v>0</v>
      </c>
      <c r="AN3" s="4">
        <f t="shared" ref="AN3:AN6" si="13">AM3/17.25</f>
        <v>0</v>
      </c>
      <c r="AP3" s="4">
        <f t="shared" ref="AP3" si="14">AO3</f>
        <v>0</v>
      </c>
      <c r="AQ3" s="4">
        <f t="shared" ref="AQ3" si="15">AP3/17.25</f>
        <v>0</v>
      </c>
      <c r="AS3" s="4">
        <f t="shared" ref="AS3" si="16">AR3</f>
        <v>0</v>
      </c>
      <c r="AT3" s="4">
        <f t="shared" ref="AT3" si="17">AS3/17.25</f>
        <v>0</v>
      </c>
      <c r="AV3" s="4">
        <f t="shared" ref="AV3:AV6" si="18">AU3</f>
        <v>0</v>
      </c>
      <c r="AW3" s="4">
        <f t="shared" ref="AW3:AW6" si="19">AV3/17.25</f>
        <v>0</v>
      </c>
      <c r="BA3" s="4">
        <f>AY3*(AZ3/60)</f>
        <v>0</v>
      </c>
      <c r="BB3" s="4">
        <f t="shared" ref="BB3:BB6" si="20">BA3/17.25</f>
        <v>0</v>
      </c>
      <c r="BF3" s="4">
        <f>BD3*(BE3/60)</f>
        <v>0</v>
      </c>
      <c r="BG3" s="4">
        <f t="shared" ref="BG3:BG6" si="21">BF3/17.25</f>
        <v>0</v>
      </c>
      <c r="BI3" s="4">
        <f t="shared" ref="BI3:BI6" si="22">BH3</f>
        <v>0</v>
      </c>
      <c r="BJ3" s="4">
        <f t="shared" ref="BJ3:BJ6" si="23">BI3/17.25</f>
        <v>0</v>
      </c>
      <c r="BK3" s="111"/>
      <c r="BM3" s="4" t="str">
        <f>IF(ISNUMBER(BL3),_xlfn.XLOOKUP(A3,Unit_Codes[Unit Codes],Unit_Codes[CWS Hrs. Per Student],0),"")</f>
        <v/>
      </c>
      <c r="BN3" s="4">
        <f>IFERROR(BL3*BM3,0)</f>
        <v>0</v>
      </c>
      <c r="BO3" s="20">
        <f t="shared" ref="BO3:BO6" si="24">BN3/17.25</f>
        <v>0</v>
      </c>
      <c r="BQ3" s="20">
        <f t="shared" ref="BQ3:BQ6" si="25">BP3/17.25</f>
        <v>0</v>
      </c>
    </row>
    <row r="4" spans="1:69" x14ac:dyDescent="0.25">
      <c r="A4" s="105" t="s">
        <v>29</v>
      </c>
      <c r="B4" s="105" t="s">
        <v>221</v>
      </c>
      <c r="C4" s="105" t="s">
        <v>828</v>
      </c>
      <c r="D4">
        <f>_xlfn.XLOOKUP(A4,Unit_Codes[Unit Codes],Unit_Codes[Enrolment '# (29.04.24)],"",0)</f>
        <v>466</v>
      </c>
      <c r="E4" t="str">
        <f t="shared" ref="E4:E6" si="26">IF(T4="Yes",C4,"")</f>
        <v/>
      </c>
      <c r="F4" t="str">
        <f t="shared" ref="F4:F6" si="27">A4&amp;C4</f>
        <v>CITS2002Dummy, 02, 00000002</v>
      </c>
      <c r="G4">
        <f>COUNTIF($F$3:F4,F4)</f>
        <v>1</v>
      </c>
      <c r="H4" s="52" t="str">
        <f t="shared" ref="H4:H6" si="28">A4&amp;C4&amp;G4</f>
        <v>CITS2002Dummy, 02, 000000021</v>
      </c>
      <c r="I4" s="5">
        <f t="shared" ref="I4:I6" si="29">SUM(K4,M4,O4,Q4,S4)</f>
        <v>173</v>
      </c>
      <c r="J4" s="5">
        <f t="shared" ref="J4:J6" si="30">I4/17.25</f>
        <v>10.028985507246377</v>
      </c>
      <c r="K4" s="10">
        <f t="shared" ref="K4:K6" si="31">X4</f>
        <v>0</v>
      </c>
      <c r="L4" s="10">
        <f t="shared" ref="L4:L6" si="32">K4/17.25</f>
        <v>0</v>
      </c>
      <c r="M4" s="14">
        <f t="shared" ref="M4:M6" si="33">SUM(AA4,AD4,AG4,AJ4,AM4,AP4,AS4,AV4,BA4,BF4,BI4)</f>
        <v>0</v>
      </c>
      <c r="N4" s="14">
        <f t="shared" ref="N4:N6" si="34">M4/17.25</f>
        <v>0</v>
      </c>
      <c r="O4" s="16">
        <f t="shared" ref="O4:O5" si="35">BN4</f>
        <v>0</v>
      </c>
      <c r="P4" s="16">
        <f t="shared" ref="P4:P6" si="36">O4/17.25</f>
        <v>0</v>
      </c>
      <c r="Q4" s="12">
        <f t="shared" ref="Q4:Q6" si="37">BP4</f>
        <v>0</v>
      </c>
      <c r="R4" s="18">
        <f t="shared" ref="R4:R6" si="38">BQ4</f>
        <v>0</v>
      </c>
      <c r="S4" s="114">
        <v>173</v>
      </c>
      <c r="V4" s="4" t="str">
        <f t="shared" ref="V4:V6" si="39">IF(AND(T4="Yes",U4&gt;0),(((ROUNDUP(((35+(U4*0.8625))/17.25),1)))),"")</f>
        <v/>
      </c>
      <c r="X4" s="4">
        <f t="shared" ref="X4:X6" si="40">IFERROR(Y4*17.25,0)</f>
        <v>0</v>
      </c>
      <c r="Y4" s="20">
        <f t="shared" si="3"/>
        <v>0</v>
      </c>
      <c r="AA4" s="4">
        <f t="shared" si="4"/>
        <v>0</v>
      </c>
      <c r="AB4" s="4">
        <f t="shared" si="5"/>
        <v>0</v>
      </c>
      <c r="AD4" s="4">
        <f t="shared" si="6"/>
        <v>0</v>
      </c>
      <c r="AE4" s="4">
        <f t="shared" si="7"/>
        <v>0</v>
      </c>
      <c r="AG4" s="4">
        <f t="shared" si="8"/>
        <v>0</v>
      </c>
      <c r="AH4" s="4">
        <f t="shared" si="9"/>
        <v>0</v>
      </c>
      <c r="AI4" s="109"/>
      <c r="AJ4" s="4">
        <f t="shared" si="10"/>
        <v>0</v>
      </c>
      <c r="AK4" s="4">
        <f t="shared" si="11"/>
        <v>0</v>
      </c>
      <c r="AM4" s="4">
        <f t="shared" si="12"/>
        <v>0</v>
      </c>
      <c r="AN4" s="4">
        <f t="shared" si="13"/>
        <v>0</v>
      </c>
      <c r="AP4" s="4">
        <f t="shared" ref="AP4:AP6" si="41">AO4</f>
        <v>0</v>
      </c>
      <c r="AQ4" s="4">
        <f t="shared" ref="AQ4:AQ6" si="42">AP4/17.25</f>
        <v>0</v>
      </c>
      <c r="AS4" s="4">
        <f t="shared" ref="AS4:AS6" si="43">AR4</f>
        <v>0</v>
      </c>
      <c r="AT4" s="4">
        <f t="shared" ref="AT4:AT6" si="44">AS4/17.25</f>
        <v>0</v>
      </c>
      <c r="AV4" s="4">
        <f t="shared" si="18"/>
        <v>0</v>
      </c>
      <c r="AW4" s="4">
        <f t="shared" si="19"/>
        <v>0</v>
      </c>
      <c r="BA4" s="4">
        <f t="shared" ref="BA4:BA6" si="45">AY4*(AZ4/60)</f>
        <v>0</v>
      </c>
      <c r="BB4" s="4">
        <f t="shared" si="20"/>
        <v>0</v>
      </c>
      <c r="BF4" s="4">
        <f t="shared" ref="BF4:BF6" si="46">BD4*(BE4/60)</f>
        <v>0</v>
      </c>
      <c r="BG4" s="4">
        <f t="shared" si="21"/>
        <v>0</v>
      </c>
      <c r="BI4" s="4">
        <f t="shared" si="22"/>
        <v>0</v>
      </c>
      <c r="BJ4" s="4">
        <f t="shared" si="23"/>
        <v>0</v>
      </c>
      <c r="BK4" s="111"/>
      <c r="BM4" s="4" t="str">
        <f>IF(ISNUMBER(BL4),_xlfn.XLOOKUP(A4,Unit_Codes[Unit Codes],Unit_Codes[CWS Hrs. Per Student],0),"")</f>
        <v/>
      </c>
      <c r="BN4" s="4">
        <f t="shared" ref="BN4:BN6" si="47">IFERROR(BL4*BM4,0)</f>
        <v>0</v>
      </c>
      <c r="BO4" s="20">
        <f t="shared" si="24"/>
        <v>0</v>
      </c>
      <c r="BQ4" s="20">
        <f t="shared" si="25"/>
        <v>0</v>
      </c>
    </row>
    <row r="5" spans="1:69" x14ac:dyDescent="0.25">
      <c r="A5" s="105" t="s">
        <v>33</v>
      </c>
      <c r="B5" s="105" t="s">
        <v>221</v>
      </c>
      <c r="C5" s="105" t="s">
        <v>824</v>
      </c>
      <c r="D5">
        <f>_xlfn.XLOOKUP(A5,Unit_Codes[Unit Codes],Unit_Codes[Enrolment '# (29.04.24)],"",0)</f>
        <v>684</v>
      </c>
      <c r="E5" t="str">
        <f t="shared" si="26"/>
        <v/>
      </c>
      <c r="F5" t="str">
        <f t="shared" si="27"/>
        <v>CITS2401Dummy, 01, 00000001</v>
      </c>
      <c r="G5">
        <f>COUNTIF($F$3:F5,F5)</f>
        <v>1</v>
      </c>
      <c r="H5" s="52" t="str">
        <f t="shared" si="28"/>
        <v>CITS2401Dummy, 01, 000000011</v>
      </c>
      <c r="I5" s="5">
        <f t="shared" si="29"/>
        <v>345</v>
      </c>
      <c r="J5" s="5">
        <f t="shared" si="30"/>
        <v>20</v>
      </c>
      <c r="K5" s="10">
        <f t="shared" si="31"/>
        <v>0</v>
      </c>
      <c r="L5" s="10">
        <f t="shared" si="32"/>
        <v>0</v>
      </c>
      <c r="M5" s="14">
        <f t="shared" si="33"/>
        <v>0</v>
      </c>
      <c r="N5" s="14">
        <f t="shared" si="34"/>
        <v>0</v>
      </c>
      <c r="O5" s="16">
        <f t="shared" si="35"/>
        <v>0</v>
      </c>
      <c r="P5" s="16">
        <f t="shared" si="36"/>
        <v>0</v>
      </c>
      <c r="Q5" s="12">
        <f t="shared" si="37"/>
        <v>0</v>
      </c>
      <c r="R5" s="18">
        <f t="shared" si="38"/>
        <v>0</v>
      </c>
      <c r="S5" s="114">
        <v>345</v>
      </c>
      <c r="V5" s="4" t="str">
        <f t="shared" si="39"/>
        <v/>
      </c>
      <c r="X5" s="4">
        <f t="shared" si="40"/>
        <v>0</v>
      </c>
      <c r="Y5" s="20">
        <f t="shared" si="3"/>
        <v>0</v>
      </c>
      <c r="AA5" s="4">
        <f t="shared" si="4"/>
        <v>0</v>
      </c>
      <c r="AB5" s="4">
        <f t="shared" si="5"/>
        <v>0</v>
      </c>
      <c r="AD5" s="4">
        <f t="shared" si="6"/>
        <v>0</v>
      </c>
      <c r="AE5" s="4">
        <f t="shared" si="7"/>
        <v>0</v>
      </c>
      <c r="AG5" s="4">
        <f t="shared" si="8"/>
        <v>0</v>
      </c>
      <c r="AH5" s="4">
        <f t="shared" si="9"/>
        <v>0</v>
      </c>
      <c r="AI5" s="109"/>
      <c r="AJ5" s="4">
        <f t="shared" si="10"/>
        <v>0</v>
      </c>
      <c r="AK5" s="4">
        <f t="shared" si="11"/>
        <v>0</v>
      </c>
      <c r="AM5" s="4">
        <f t="shared" si="12"/>
        <v>0</v>
      </c>
      <c r="AN5" s="4">
        <f t="shared" si="13"/>
        <v>0</v>
      </c>
      <c r="AP5" s="4">
        <f t="shared" si="41"/>
        <v>0</v>
      </c>
      <c r="AQ5" s="4">
        <f t="shared" si="42"/>
        <v>0</v>
      </c>
      <c r="AS5" s="4">
        <f t="shared" si="43"/>
        <v>0</v>
      </c>
      <c r="AT5" s="4">
        <f t="shared" si="44"/>
        <v>0</v>
      </c>
      <c r="AV5" s="4">
        <f t="shared" si="18"/>
        <v>0</v>
      </c>
      <c r="AW5" s="4">
        <f t="shared" si="19"/>
        <v>0</v>
      </c>
      <c r="BA5" s="4">
        <f t="shared" si="45"/>
        <v>0</v>
      </c>
      <c r="BB5" s="4">
        <f t="shared" si="20"/>
        <v>0</v>
      </c>
      <c r="BF5" s="4">
        <f t="shared" si="46"/>
        <v>0</v>
      </c>
      <c r="BG5" s="4">
        <f t="shared" si="21"/>
        <v>0</v>
      </c>
      <c r="BI5" s="4">
        <f t="shared" si="22"/>
        <v>0</v>
      </c>
      <c r="BJ5" s="4">
        <f t="shared" si="23"/>
        <v>0</v>
      </c>
      <c r="BK5" s="111"/>
      <c r="BM5" s="4" t="str">
        <f>IF(ISNUMBER(BL5),_xlfn.XLOOKUP(A5,Unit_Codes[Unit Codes],Unit_Codes[CWS Hrs. Per Student],0),"")</f>
        <v/>
      </c>
      <c r="BN5" s="4">
        <f t="shared" si="47"/>
        <v>0</v>
      </c>
      <c r="BO5" s="20">
        <f t="shared" si="24"/>
        <v>0</v>
      </c>
      <c r="BQ5" s="20">
        <f t="shared" si="25"/>
        <v>0</v>
      </c>
    </row>
    <row r="6" spans="1:69" x14ac:dyDescent="0.25">
      <c r="A6" s="105" t="s">
        <v>34</v>
      </c>
      <c r="B6" s="105" t="s">
        <v>221</v>
      </c>
      <c r="C6" s="105" t="s">
        <v>825</v>
      </c>
      <c r="D6">
        <f>_xlfn.XLOOKUP(A6,Unit_Codes[Unit Codes],Unit_Codes[Enrolment '# (29.04.24)],"",0)</f>
        <v>290</v>
      </c>
      <c r="E6" t="str">
        <f t="shared" si="26"/>
        <v/>
      </c>
      <c r="F6" t="str">
        <f t="shared" si="27"/>
        <v>CITS3002Dummy, 04, 00000004</v>
      </c>
      <c r="G6">
        <f>COUNTIF($F$3:F6,F6)</f>
        <v>1</v>
      </c>
      <c r="H6" s="52" t="str">
        <f t="shared" si="28"/>
        <v>CITS3002Dummy, 04, 000000041</v>
      </c>
      <c r="I6" s="5">
        <f t="shared" si="29"/>
        <v>100</v>
      </c>
      <c r="J6" s="5">
        <f t="shared" si="30"/>
        <v>5.7971014492753623</v>
      </c>
      <c r="K6" s="10">
        <f t="shared" si="31"/>
        <v>0</v>
      </c>
      <c r="L6" s="10">
        <f t="shared" si="32"/>
        <v>0</v>
      </c>
      <c r="M6" s="14">
        <f t="shared" si="33"/>
        <v>0</v>
      </c>
      <c r="N6" s="14">
        <f t="shared" si="34"/>
        <v>0</v>
      </c>
      <c r="O6" s="16">
        <f>BN6</f>
        <v>0</v>
      </c>
      <c r="P6" s="16">
        <f t="shared" si="36"/>
        <v>0</v>
      </c>
      <c r="Q6" s="12">
        <f t="shared" si="37"/>
        <v>0</v>
      </c>
      <c r="R6" s="18">
        <f t="shared" si="38"/>
        <v>0</v>
      </c>
      <c r="S6" s="114">
        <v>100</v>
      </c>
      <c r="V6" s="4" t="str">
        <f t="shared" si="39"/>
        <v/>
      </c>
      <c r="X6" s="4">
        <f t="shared" si="40"/>
        <v>0</v>
      </c>
      <c r="Y6" s="20">
        <f t="shared" si="3"/>
        <v>0</v>
      </c>
      <c r="AA6" s="4">
        <f t="shared" si="4"/>
        <v>0</v>
      </c>
      <c r="AB6" s="4">
        <f t="shared" si="5"/>
        <v>0</v>
      </c>
      <c r="AD6" s="4">
        <f t="shared" si="6"/>
        <v>0</v>
      </c>
      <c r="AE6" s="4">
        <f t="shared" si="7"/>
        <v>0</v>
      </c>
      <c r="AG6" s="4">
        <f t="shared" si="8"/>
        <v>0</v>
      </c>
      <c r="AH6" s="4">
        <f t="shared" si="9"/>
        <v>0</v>
      </c>
      <c r="AI6" s="109"/>
      <c r="AJ6" s="4">
        <f t="shared" si="10"/>
        <v>0</v>
      </c>
      <c r="AK6" s="4">
        <f t="shared" si="11"/>
        <v>0</v>
      </c>
      <c r="AM6" s="4">
        <f t="shared" si="12"/>
        <v>0</v>
      </c>
      <c r="AN6" s="4">
        <f t="shared" si="13"/>
        <v>0</v>
      </c>
      <c r="AP6" s="4">
        <f t="shared" si="41"/>
        <v>0</v>
      </c>
      <c r="AQ6" s="4">
        <f t="shared" si="42"/>
        <v>0</v>
      </c>
      <c r="AS6" s="4">
        <f t="shared" si="43"/>
        <v>0</v>
      </c>
      <c r="AT6" s="4">
        <f t="shared" si="44"/>
        <v>0</v>
      </c>
      <c r="AV6" s="4">
        <f t="shared" si="18"/>
        <v>0</v>
      </c>
      <c r="AW6" s="4">
        <f t="shared" si="19"/>
        <v>0</v>
      </c>
      <c r="BA6" s="4">
        <f t="shared" si="45"/>
        <v>0</v>
      </c>
      <c r="BB6" s="4">
        <f t="shared" si="20"/>
        <v>0</v>
      </c>
      <c r="BF6" s="4">
        <f t="shared" si="46"/>
        <v>0</v>
      </c>
      <c r="BG6" s="4">
        <f t="shared" si="21"/>
        <v>0</v>
      </c>
      <c r="BI6" s="4">
        <f t="shared" si="22"/>
        <v>0</v>
      </c>
      <c r="BJ6" s="4">
        <f t="shared" si="23"/>
        <v>0</v>
      </c>
      <c r="BK6" s="111"/>
      <c r="BM6" s="4" t="str">
        <f>IF(ISNUMBER(BL6),_xlfn.XLOOKUP(A6,Unit_Codes[Unit Codes],Unit_Codes[CWS Hrs. Per Student],0),"")</f>
        <v/>
      </c>
      <c r="BN6" s="4">
        <f t="shared" si="47"/>
        <v>0</v>
      </c>
      <c r="BO6" s="20">
        <f t="shared" si="24"/>
        <v>0</v>
      </c>
      <c r="BQ6" s="20">
        <f t="shared" si="25"/>
        <v>0</v>
      </c>
    </row>
    <row r="7" spans="1:69" x14ac:dyDescent="0.25">
      <c r="A7" s="105" t="s">
        <v>89</v>
      </c>
      <c r="B7" s="105" t="s">
        <v>221</v>
      </c>
      <c r="C7" s="105" t="s">
        <v>827</v>
      </c>
      <c r="D7">
        <f>_xlfn.XLOOKUP(A7,Unit_Codes[Unit Codes],Unit_Codes[Enrolment '# (29.04.24)],"",0)</f>
        <v>961</v>
      </c>
      <c r="E7" t="str">
        <f t="shared" ref="E7:E14" si="48">IF(T7="Yes",C7,"")</f>
        <v/>
      </c>
      <c r="F7" t="str">
        <f t="shared" ref="F7:F14" si="49">A7&amp;C7</f>
        <v>MATH1011Dummy, 07, 00000007</v>
      </c>
      <c r="G7">
        <f>COUNTIF($F$3:F7,F7)</f>
        <v>1</v>
      </c>
      <c r="H7" s="52" t="str">
        <f t="shared" ref="H7:H14" si="50">A7&amp;C7&amp;G7</f>
        <v>MATH1011Dummy, 07, 000000071</v>
      </c>
      <c r="I7" s="5">
        <f t="shared" ref="I7:I14" si="51">SUM(K7,M7,O7,Q7,S7)</f>
        <v>215</v>
      </c>
      <c r="J7" s="5">
        <f t="shared" ref="J7:J14" si="52">I7/17.25</f>
        <v>12.463768115942029</v>
      </c>
      <c r="K7" s="10">
        <f t="shared" ref="K7:K14" si="53">X7</f>
        <v>0</v>
      </c>
      <c r="L7" s="10">
        <f t="shared" ref="L7:L14" si="54">K7/17.25</f>
        <v>0</v>
      </c>
      <c r="M7" s="14">
        <f t="shared" ref="M7:M14" si="55">SUM(AA7,AD7,AG7,AJ7,AM7,AP7,AS7,AV7,BA7,BF7,BI7)</f>
        <v>0</v>
      </c>
      <c r="N7" s="14">
        <f t="shared" ref="N7:N14" si="56">M7/17.25</f>
        <v>0</v>
      </c>
      <c r="O7" s="16">
        <f t="shared" ref="O7:O14" si="57">BN7</f>
        <v>0</v>
      </c>
      <c r="P7" s="16">
        <f t="shared" ref="P7:P14" si="58">O7/17.25</f>
        <v>0</v>
      </c>
      <c r="Q7" s="12">
        <f t="shared" ref="Q7:Q14" si="59">BP7</f>
        <v>0</v>
      </c>
      <c r="R7" s="18">
        <f t="shared" ref="R7:R14" si="60">BQ7</f>
        <v>0</v>
      </c>
      <c r="S7" s="114">
        <v>215</v>
      </c>
      <c r="V7" s="4" t="str">
        <f t="shared" ref="V7:V14" si="61">IF(AND(T7="Yes",U7&gt;0),(((ROUNDUP(((35+(U7*0.8625))/17.25),1)))),"")</f>
        <v/>
      </c>
      <c r="X7" s="4">
        <f t="shared" ref="X7:X14" si="62">IFERROR(Y7*17.25,0)</f>
        <v>0</v>
      </c>
      <c r="Y7" s="20">
        <f t="shared" ref="Y7:Y14" si="63">IFERROR(V7*W7,0)</f>
        <v>0</v>
      </c>
      <c r="AA7" s="4">
        <f t="shared" ref="AA7:AA14" si="64">Z7*2</f>
        <v>0</v>
      </c>
      <c r="AB7" s="4">
        <f t="shared" ref="AB7:AB14" si="65">AA7/17.25</f>
        <v>0</v>
      </c>
      <c r="AD7" s="4">
        <f t="shared" ref="AD7:AD14" si="66">AC7*3</f>
        <v>0</v>
      </c>
      <c r="AE7" s="4">
        <f t="shared" ref="AE7:AE14" si="67">AD7/17.25</f>
        <v>0</v>
      </c>
      <c r="AG7" s="4">
        <f t="shared" ref="AG7:AG14" si="68">AF7*4</f>
        <v>0</v>
      </c>
      <c r="AH7" s="4">
        <f t="shared" ref="AH7:AH14" si="69">AG7/17.25</f>
        <v>0</v>
      </c>
      <c r="AI7" s="109"/>
      <c r="AJ7" s="4">
        <f t="shared" ref="AJ7:AJ14" si="70">AI7*3</f>
        <v>0</v>
      </c>
      <c r="AK7" s="4">
        <f t="shared" ref="AK7:AK14" si="71">AJ7/17.25</f>
        <v>0</v>
      </c>
      <c r="AM7" s="4">
        <f t="shared" ref="AM7:AM14" si="72">AL7*2</f>
        <v>0</v>
      </c>
      <c r="AN7" s="4">
        <f t="shared" ref="AN7:AN14" si="73">AM7/17.25</f>
        <v>0</v>
      </c>
      <c r="AP7" s="4">
        <f t="shared" ref="AP7:AP14" si="74">AO7</f>
        <v>0</v>
      </c>
      <c r="AQ7" s="4">
        <f t="shared" ref="AQ7:AQ14" si="75">AP7/17.25</f>
        <v>0</v>
      </c>
      <c r="AS7" s="4">
        <f t="shared" ref="AS7:AS14" si="76">AR7</f>
        <v>0</v>
      </c>
      <c r="AT7" s="4">
        <f t="shared" ref="AT7:AT14" si="77">AS7/17.25</f>
        <v>0</v>
      </c>
      <c r="AV7" s="4">
        <f t="shared" ref="AV7:AV14" si="78">AU7</f>
        <v>0</v>
      </c>
      <c r="AW7" s="4">
        <f t="shared" ref="AW7:AW14" si="79">AV7/17.25</f>
        <v>0</v>
      </c>
      <c r="BA7" s="4">
        <f t="shared" ref="BA7:BA14" si="80">AY7*(AZ7/60)</f>
        <v>0</v>
      </c>
      <c r="BB7" s="4">
        <f t="shared" ref="BB7:BB14" si="81">BA7/17.25</f>
        <v>0</v>
      </c>
      <c r="BF7" s="4">
        <f t="shared" ref="BF7:BF14" si="82">BD7*(BE7/60)</f>
        <v>0</v>
      </c>
      <c r="BG7" s="4">
        <f t="shared" ref="BG7:BG14" si="83">BF7/17.25</f>
        <v>0</v>
      </c>
      <c r="BI7" s="4">
        <f t="shared" ref="BI7:BI14" si="84">BH7</f>
        <v>0</v>
      </c>
      <c r="BJ7" s="4">
        <f t="shared" ref="BJ7:BJ14" si="85">BI7/17.25</f>
        <v>0</v>
      </c>
      <c r="BK7" s="111"/>
      <c r="BM7" s="4" t="str">
        <f>IF(ISNUMBER(BL7),_xlfn.XLOOKUP(A7,Unit_Codes[Unit Codes],Unit_Codes[CWS Hrs. Per Student],0),"")</f>
        <v/>
      </c>
      <c r="BN7" s="4">
        <f t="shared" ref="BN7:BN14" si="86">IFERROR(BL7*BM7,0)</f>
        <v>0</v>
      </c>
      <c r="BO7" s="20">
        <f t="shared" ref="BO7:BO14" si="87">BN7/17.25</f>
        <v>0</v>
      </c>
      <c r="BQ7" s="20">
        <f t="shared" ref="BQ7:BQ14" si="88">BP7/17.25</f>
        <v>0</v>
      </c>
    </row>
    <row r="8" spans="1:69" x14ac:dyDescent="0.25">
      <c r="A8" s="105" t="s">
        <v>89</v>
      </c>
      <c r="B8" s="105" t="s">
        <v>221</v>
      </c>
      <c r="C8" s="105" t="s">
        <v>829</v>
      </c>
      <c r="D8">
        <f>_xlfn.XLOOKUP(A8,Unit_Codes[Unit Codes],Unit_Codes[Enrolment '# (29.04.24)],"",0)</f>
        <v>961</v>
      </c>
      <c r="E8" t="str">
        <f t="shared" si="48"/>
        <v/>
      </c>
      <c r="F8" t="str">
        <f t="shared" si="49"/>
        <v>MATH1011Dummy, 05, 00000005</v>
      </c>
      <c r="G8">
        <f>COUNTIF($F$3:F8,F8)</f>
        <v>1</v>
      </c>
      <c r="H8" s="52" t="str">
        <f t="shared" si="50"/>
        <v>MATH1011Dummy, 05, 000000051</v>
      </c>
      <c r="I8" s="5">
        <f t="shared" si="51"/>
        <v>345</v>
      </c>
      <c r="J8" s="5">
        <f t="shared" si="52"/>
        <v>20</v>
      </c>
      <c r="K8" s="10">
        <f t="shared" si="53"/>
        <v>0</v>
      </c>
      <c r="L8" s="10">
        <f t="shared" si="54"/>
        <v>0</v>
      </c>
      <c r="M8" s="14">
        <f t="shared" si="55"/>
        <v>0</v>
      </c>
      <c r="N8" s="14">
        <f t="shared" si="56"/>
        <v>0</v>
      </c>
      <c r="O8" s="16">
        <f t="shared" si="57"/>
        <v>0</v>
      </c>
      <c r="P8" s="16">
        <f t="shared" si="58"/>
        <v>0</v>
      </c>
      <c r="Q8" s="12">
        <f t="shared" si="59"/>
        <v>0</v>
      </c>
      <c r="R8" s="18">
        <f t="shared" si="60"/>
        <v>0</v>
      </c>
      <c r="S8" s="114">
        <v>345</v>
      </c>
      <c r="V8" s="4" t="str">
        <f t="shared" si="61"/>
        <v/>
      </c>
      <c r="X8" s="4">
        <f t="shared" si="62"/>
        <v>0</v>
      </c>
      <c r="Y8" s="20">
        <f t="shared" si="63"/>
        <v>0</v>
      </c>
      <c r="AA8" s="4">
        <f t="shared" si="64"/>
        <v>0</v>
      </c>
      <c r="AB8" s="4">
        <f t="shared" si="65"/>
        <v>0</v>
      </c>
      <c r="AD8" s="4">
        <f t="shared" si="66"/>
        <v>0</v>
      </c>
      <c r="AE8" s="4">
        <f t="shared" si="67"/>
        <v>0</v>
      </c>
      <c r="AG8" s="4">
        <f t="shared" si="68"/>
        <v>0</v>
      </c>
      <c r="AH8" s="4">
        <f t="shared" si="69"/>
        <v>0</v>
      </c>
      <c r="AI8" s="109"/>
      <c r="AJ8" s="4">
        <f t="shared" si="70"/>
        <v>0</v>
      </c>
      <c r="AK8" s="4">
        <f t="shared" si="71"/>
        <v>0</v>
      </c>
      <c r="AM8" s="4">
        <f t="shared" si="72"/>
        <v>0</v>
      </c>
      <c r="AN8" s="4">
        <f t="shared" si="73"/>
        <v>0</v>
      </c>
      <c r="AP8" s="4">
        <f t="shared" si="74"/>
        <v>0</v>
      </c>
      <c r="AQ8" s="4">
        <f t="shared" si="75"/>
        <v>0</v>
      </c>
      <c r="AS8" s="4">
        <f t="shared" si="76"/>
        <v>0</v>
      </c>
      <c r="AT8" s="4">
        <f t="shared" si="77"/>
        <v>0</v>
      </c>
      <c r="AV8" s="4">
        <f t="shared" si="78"/>
        <v>0</v>
      </c>
      <c r="AW8" s="4">
        <f t="shared" si="79"/>
        <v>0</v>
      </c>
      <c r="BA8" s="4">
        <f t="shared" si="80"/>
        <v>0</v>
      </c>
      <c r="BB8" s="4">
        <f t="shared" si="81"/>
        <v>0</v>
      </c>
      <c r="BF8" s="4">
        <f t="shared" si="82"/>
        <v>0</v>
      </c>
      <c r="BG8" s="4">
        <f t="shared" si="83"/>
        <v>0</v>
      </c>
      <c r="BI8" s="4">
        <f t="shared" si="84"/>
        <v>0</v>
      </c>
      <c r="BJ8" s="4">
        <f t="shared" si="85"/>
        <v>0</v>
      </c>
      <c r="BK8" s="111"/>
      <c r="BM8" s="4" t="str">
        <f>IF(ISNUMBER(BL8),_xlfn.XLOOKUP(A8,Unit_Codes[Unit Codes],Unit_Codes[CWS Hrs. Per Student],0),"")</f>
        <v/>
      </c>
      <c r="BN8" s="4">
        <f t="shared" si="86"/>
        <v>0</v>
      </c>
      <c r="BO8" s="20">
        <f t="shared" si="87"/>
        <v>0</v>
      </c>
      <c r="BQ8" s="20">
        <f t="shared" si="88"/>
        <v>0</v>
      </c>
    </row>
    <row r="9" spans="1:69" x14ac:dyDescent="0.25">
      <c r="A9" s="105" t="s">
        <v>89</v>
      </c>
      <c r="B9" s="105" t="s">
        <v>221</v>
      </c>
      <c r="C9" s="105" t="s">
        <v>830</v>
      </c>
      <c r="D9">
        <f>_xlfn.XLOOKUP(A9,Unit_Codes[Unit Codes],Unit_Codes[Enrolment '# (29.04.24)],"",0)</f>
        <v>961</v>
      </c>
      <c r="E9" t="str">
        <f t="shared" si="48"/>
        <v/>
      </c>
      <c r="F9" t="str">
        <f t="shared" si="49"/>
        <v>MATH1011Dummy, 03, 00000003</v>
      </c>
      <c r="G9">
        <f>COUNTIF($F$3:F9,F9)</f>
        <v>1</v>
      </c>
      <c r="H9" s="52" t="str">
        <f t="shared" si="50"/>
        <v>MATH1011Dummy, 03, 000000031</v>
      </c>
      <c r="I9" s="5">
        <f t="shared" si="51"/>
        <v>130</v>
      </c>
      <c r="J9" s="5">
        <f t="shared" si="52"/>
        <v>7.5362318840579707</v>
      </c>
      <c r="K9" s="10">
        <f t="shared" si="53"/>
        <v>0</v>
      </c>
      <c r="L9" s="10">
        <f t="shared" si="54"/>
        <v>0</v>
      </c>
      <c r="M9" s="14">
        <f t="shared" si="55"/>
        <v>0</v>
      </c>
      <c r="N9" s="14">
        <f t="shared" si="56"/>
        <v>0</v>
      </c>
      <c r="O9" s="16">
        <f t="shared" si="57"/>
        <v>0</v>
      </c>
      <c r="P9" s="16">
        <f t="shared" si="58"/>
        <v>0</v>
      </c>
      <c r="Q9" s="12">
        <f t="shared" si="59"/>
        <v>0</v>
      </c>
      <c r="R9" s="18">
        <f t="shared" si="60"/>
        <v>0</v>
      </c>
      <c r="S9" s="114">
        <v>130</v>
      </c>
      <c r="V9" s="4" t="str">
        <f t="shared" si="61"/>
        <v/>
      </c>
      <c r="X9" s="4">
        <f t="shared" si="62"/>
        <v>0</v>
      </c>
      <c r="Y9" s="20">
        <f t="shared" si="63"/>
        <v>0</v>
      </c>
      <c r="AA9" s="4">
        <f t="shared" si="64"/>
        <v>0</v>
      </c>
      <c r="AB9" s="4">
        <f t="shared" si="65"/>
        <v>0</v>
      </c>
      <c r="AD9" s="4">
        <f t="shared" si="66"/>
        <v>0</v>
      </c>
      <c r="AE9" s="4">
        <f t="shared" si="67"/>
        <v>0</v>
      </c>
      <c r="AG9" s="4">
        <f t="shared" si="68"/>
        <v>0</v>
      </c>
      <c r="AH9" s="4">
        <f t="shared" si="69"/>
        <v>0</v>
      </c>
      <c r="AI9" s="109"/>
      <c r="AJ9" s="4">
        <f t="shared" si="70"/>
        <v>0</v>
      </c>
      <c r="AK9" s="4">
        <f t="shared" si="71"/>
        <v>0</v>
      </c>
      <c r="AM9" s="4">
        <f t="shared" si="72"/>
        <v>0</v>
      </c>
      <c r="AN9" s="4">
        <f t="shared" si="73"/>
        <v>0</v>
      </c>
      <c r="AP9" s="4">
        <f t="shared" si="74"/>
        <v>0</v>
      </c>
      <c r="AQ9" s="4">
        <f t="shared" si="75"/>
        <v>0</v>
      </c>
      <c r="AS9" s="4">
        <f t="shared" si="76"/>
        <v>0</v>
      </c>
      <c r="AT9" s="4">
        <f t="shared" si="77"/>
        <v>0</v>
      </c>
      <c r="AV9" s="4">
        <f t="shared" si="78"/>
        <v>0</v>
      </c>
      <c r="AW9" s="4">
        <f t="shared" si="79"/>
        <v>0</v>
      </c>
      <c r="BA9" s="4">
        <f t="shared" si="80"/>
        <v>0</v>
      </c>
      <c r="BB9" s="4">
        <f t="shared" si="81"/>
        <v>0</v>
      </c>
      <c r="BF9" s="4">
        <f t="shared" si="82"/>
        <v>0</v>
      </c>
      <c r="BG9" s="4">
        <f t="shared" si="83"/>
        <v>0</v>
      </c>
      <c r="BI9" s="4">
        <f t="shared" si="84"/>
        <v>0</v>
      </c>
      <c r="BJ9" s="4">
        <f t="shared" si="85"/>
        <v>0</v>
      </c>
      <c r="BK9" s="111"/>
      <c r="BM9" s="4" t="str">
        <f>IF(ISNUMBER(BL9),_xlfn.XLOOKUP(A9,Unit_Codes[Unit Codes],Unit_Codes[CWS Hrs. Per Student],0),"")</f>
        <v/>
      </c>
      <c r="BN9" s="4">
        <f t="shared" si="86"/>
        <v>0</v>
      </c>
      <c r="BO9" s="20">
        <f t="shared" si="87"/>
        <v>0</v>
      </c>
      <c r="BQ9" s="20">
        <f t="shared" si="88"/>
        <v>0</v>
      </c>
    </row>
    <row r="10" spans="1:69" x14ac:dyDescent="0.25">
      <c r="A10" s="105" t="s">
        <v>95</v>
      </c>
      <c r="B10" s="105" t="s">
        <v>221</v>
      </c>
      <c r="C10" s="105" t="s">
        <v>826</v>
      </c>
      <c r="D10">
        <f>_xlfn.XLOOKUP(A10,Unit_Codes[Unit Codes],Unit_Codes[Enrolment '# (29.04.24)],"",0)</f>
        <v>868</v>
      </c>
      <c r="E10" t="str">
        <f t="shared" si="48"/>
        <v/>
      </c>
      <c r="F10" t="str">
        <f t="shared" si="49"/>
        <v>MATH1012Dummy, 06, 00000006</v>
      </c>
      <c r="G10">
        <f>COUNTIF($F$3:F10,F10)</f>
        <v>1</v>
      </c>
      <c r="H10" s="52" t="str">
        <f t="shared" si="50"/>
        <v>MATH1012Dummy, 06, 000000061</v>
      </c>
      <c r="I10" s="5">
        <f t="shared" si="51"/>
        <v>345</v>
      </c>
      <c r="J10" s="5">
        <f t="shared" si="52"/>
        <v>20</v>
      </c>
      <c r="K10" s="10">
        <f t="shared" si="53"/>
        <v>0</v>
      </c>
      <c r="L10" s="10">
        <f t="shared" si="54"/>
        <v>0</v>
      </c>
      <c r="M10" s="14">
        <f t="shared" si="55"/>
        <v>0</v>
      </c>
      <c r="N10" s="14">
        <f t="shared" si="56"/>
        <v>0</v>
      </c>
      <c r="O10" s="16">
        <f t="shared" si="57"/>
        <v>0</v>
      </c>
      <c r="P10" s="16">
        <f t="shared" si="58"/>
        <v>0</v>
      </c>
      <c r="Q10" s="12">
        <f t="shared" si="59"/>
        <v>0</v>
      </c>
      <c r="R10" s="18">
        <f t="shared" si="60"/>
        <v>0</v>
      </c>
      <c r="S10" s="114">
        <v>345</v>
      </c>
      <c r="V10" s="4" t="str">
        <f t="shared" si="61"/>
        <v/>
      </c>
      <c r="X10" s="4">
        <f t="shared" si="62"/>
        <v>0</v>
      </c>
      <c r="Y10" s="20">
        <f t="shared" si="63"/>
        <v>0</v>
      </c>
      <c r="AA10" s="4">
        <f t="shared" si="64"/>
        <v>0</v>
      </c>
      <c r="AB10" s="4">
        <f t="shared" si="65"/>
        <v>0</v>
      </c>
      <c r="AD10" s="4">
        <f t="shared" si="66"/>
        <v>0</v>
      </c>
      <c r="AE10" s="4">
        <f t="shared" si="67"/>
        <v>0</v>
      </c>
      <c r="AG10" s="4">
        <f t="shared" si="68"/>
        <v>0</v>
      </c>
      <c r="AH10" s="4">
        <f t="shared" si="69"/>
        <v>0</v>
      </c>
      <c r="AI10" s="109"/>
      <c r="AJ10" s="4">
        <f t="shared" si="70"/>
        <v>0</v>
      </c>
      <c r="AK10" s="4">
        <f t="shared" si="71"/>
        <v>0</v>
      </c>
      <c r="AM10" s="4">
        <f t="shared" si="72"/>
        <v>0</v>
      </c>
      <c r="AN10" s="4">
        <f t="shared" si="73"/>
        <v>0</v>
      </c>
      <c r="AP10" s="4">
        <f t="shared" si="74"/>
        <v>0</v>
      </c>
      <c r="AQ10" s="4">
        <f t="shared" si="75"/>
        <v>0</v>
      </c>
      <c r="AS10" s="4">
        <f t="shared" si="76"/>
        <v>0</v>
      </c>
      <c r="AT10" s="4">
        <f t="shared" si="77"/>
        <v>0</v>
      </c>
      <c r="AV10" s="4">
        <f t="shared" si="78"/>
        <v>0</v>
      </c>
      <c r="AW10" s="4">
        <f t="shared" si="79"/>
        <v>0</v>
      </c>
      <c r="BA10" s="4">
        <f t="shared" si="80"/>
        <v>0</v>
      </c>
      <c r="BB10" s="4">
        <f t="shared" si="81"/>
        <v>0</v>
      </c>
      <c r="BF10" s="4">
        <f t="shared" si="82"/>
        <v>0</v>
      </c>
      <c r="BG10" s="4">
        <f t="shared" si="83"/>
        <v>0</v>
      </c>
      <c r="BI10" s="4">
        <f t="shared" si="84"/>
        <v>0</v>
      </c>
      <c r="BJ10" s="4">
        <f t="shared" si="85"/>
        <v>0</v>
      </c>
      <c r="BK10" s="111"/>
      <c r="BM10" s="4" t="str">
        <f>IF(ISNUMBER(BL10),_xlfn.XLOOKUP(A10,Unit_Codes[Unit Codes],Unit_Codes[CWS Hrs. Per Student],0),"")</f>
        <v/>
      </c>
      <c r="BN10" s="4">
        <f t="shared" si="86"/>
        <v>0</v>
      </c>
      <c r="BO10" s="20">
        <f t="shared" si="87"/>
        <v>0</v>
      </c>
      <c r="BQ10" s="20">
        <f t="shared" si="88"/>
        <v>0</v>
      </c>
    </row>
    <row r="11" spans="1:69" x14ac:dyDescent="0.25">
      <c r="A11" s="105" t="s">
        <v>95</v>
      </c>
      <c r="B11" s="105" t="s">
        <v>221</v>
      </c>
      <c r="C11" s="105" t="s">
        <v>827</v>
      </c>
      <c r="D11">
        <f>_xlfn.XLOOKUP(A11,Unit_Codes[Unit Codes],Unit_Codes[Enrolment '# (29.04.24)],"",0)</f>
        <v>868</v>
      </c>
      <c r="E11" t="str">
        <f t="shared" si="48"/>
        <v/>
      </c>
      <c r="F11" t="str">
        <f t="shared" si="49"/>
        <v>MATH1012Dummy, 07, 00000007</v>
      </c>
      <c r="G11">
        <f>COUNTIF($F$3:F11,F11)</f>
        <v>1</v>
      </c>
      <c r="H11" s="52" t="str">
        <f t="shared" si="50"/>
        <v>MATH1012Dummy, 07, 000000071</v>
      </c>
      <c r="I11" s="5">
        <f t="shared" si="51"/>
        <v>215</v>
      </c>
      <c r="J11" s="5">
        <f t="shared" si="52"/>
        <v>12.463768115942029</v>
      </c>
      <c r="K11" s="10">
        <f t="shared" si="53"/>
        <v>0</v>
      </c>
      <c r="L11" s="10">
        <f t="shared" si="54"/>
        <v>0</v>
      </c>
      <c r="M11" s="14">
        <f t="shared" si="55"/>
        <v>0</v>
      </c>
      <c r="N11" s="14">
        <f t="shared" si="56"/>
        <v>0</v>
      </c>
      <c r="O11" s="16">
        <f t="shared" si="57"/>
        <v>0</v>
      </c>
      <c r="P11" s="16">
        <f t="shared" si="58"/>
        <v>0</v>
      </c>
      <c r="Q11" s="12">
        <f t="shared" si="59"/>
        <v>0</v>
      </c>
      <c r="R11" s="18">
        <f t="shared" si="60"/>
        <v>0</v>
      </c>
      <c r="S11" s="114">
        <v>215</v>
      </c>
      <c r="V11" s="4" t="str">
        <f t="shared" si="61"/>
        <v/>
      </c>
      <c r="X11" s="4">
        <f t="shared" si="62"/>
        <v>0</v>
      </c>
      <c r="Y11" s="20">
        <f t="shared" si="63"/>
        <v>0</v>
      </c>
      <c r="AA11" s="4">
        <f t="shared" si="64"/>
        <v>0</v>
      </c>
      <c r="AB11" s="4">
        <f t="shared" si="65"/>
        <v>0</v>
      </c>
      <c r="AD11" s="4">
        <f t="shared" si="66"/>
        <v>0</v>
      </c>
      <c r="AE11" s="4">
        <f t="shared" si="67"/>
        <v>0</v>
      </c>
      <c r="AG11" s="4">
        <f t="shared" si="68"/>
        <v>0</v>
      </c>
      <c r="AH11" s="4">
        <f t="shared" si="69"/>
        <v>0</v>
      </c>
      <c r="AI11" s="109"/>
      <c r="AJ11" s="4">
        <f t="shared" si="70"/>
        <v>0</v>
      </c>
      <c r="AK11" s="4">
        <f t="shared" si="71"/>
        <v>0</v>
      </c>
      <c r="AM11" s="4">
        <f t="shared" si="72"/>
        <v>0</v>
      </c>
      <c r="AN11" s="4">
        <f t="shared" si="73"/>
        <v>0</v>
      </c>
      <c r="AP11" s="4">
        <f t="shared" si="74"/>
        <v>0</v>
      </c>
      <c r="AQ11" s="4">
        <f t="shared" si="75"/>
        <v>0</v>
      </c>
      <c r="AS11" s="4">
        <f t="shared" si="76"/>
        <v>0</v>
      </c>
      <c r="AT11" s="4">
        <f t="shared" si="77"/>
        <v>0</v>
      </c>
      <c r="AV11" s="4">
        <f t="shared" si="78"/>
        <v>0</v>
      </c>
      <c r="AW11" s="4">
        <f t="shared" si="79"/>
        <v>0</v>
      </c>
      <c r="BA11" s="4">
        <f t="shared" si="80"/>
        <v>0</v>
      </c>
      <c r="BB11" s="4">
        <f t="shared" si="81"/>
        <v>0</v>
      </c>
      <c r="BF11" s="4">
        <f t="shared" si="82"/>
        <v>0</v>
      </c>
      <c r="BG11" s="4">
        <f t="shared" si="83"/>
        <v>0</v>
      </c>
      <c r="BI11" s="4">
        <f t="shared" si="84"/>
        <v>0</v>
      </c>
      <c r="BJ11" s="4">
        <f t="shared" si="85"/>
        <v>0</v>
      </c>
      <c r="BK11" s="111"/>
      <c r="BM11" s="4" t="str">
        <f>IF(ISNUMBER(BL11),_xlfn.XLOOKUP(A11,Unit_Codes[Unit Codes],Unit_Codes[CWS Hrs. Per Student],0),"")</f>
        <v/>
      </c>
      <c r="BN11" s="4">
        <f t="shared" si="86"/>
        <v>0</v>
      </c>
      <c r="BO11" s="20">
        <f t="shared" si="87"/>
        <v>0</v>
      </c>
      <c r="BQ11" s="20">
        <f t="shared" si="88"/>
        <v>0</v>
      </c>
    </row>
    <row r="12" spans="1:69" x14ac:dyDescent="0.25">
      <c r="A12" s="105" t="s">
        <v>95</v>
      </c>
      <c r="B12" s="105" t="s">
        <v>221</v>
      </c>
      <c r="C12" s="105" t="s">
        <v>831</v>
      </c>
      <c r="D12">
        <f>_xlfn.XLOOKUP(A12,Unit_Codes[Unit Codes],Unit_Codes[Enrolment '# (29.04.24)],"",0)</f>
        <v>868</v>
      </c>
      <c r="E12" t="str">
        <f t="shared" si="48"/>
        <v/>
      </c>
      <c r="F12" t="str">
        <f t="shared" si="49"/>
        <v>MATH1012Dummy, 08, 00000008</v>
      </c>
      <c r="G12">
        <f>COUNTIF($F$3:F12,F12)</f>
        <v>1</v>
      </c>
      <c r="H12" s="52" t="str">
        <f t="shared" si="50"/>
        <v>MATH1012Dummy, 08, 000000081</v>
      </c>
      <c r="I12" s="5">
        <f t="shared" si="51"/>
        <v>130</v>
      </c>
      <c r="J12" s="5">
        <f t="shared" si="52"/>
        <v>7.5362318840579707</v>
      </c>
      <c r="K12" s="10">
        <f t="shared" si="53"/>
        <v>0</v>
      </c>
      <c r="L12" s="10">
        <f t="shared" si="54"/>
        <v>0</v>
      </c>
      <c r="M12" s="14">
        <f t="shared" si="55"/>
        <v>0</v>
      </c>
      <c r="N12" s="14">
        <f t="shared" si="56"/>
        <v>0</v>
      </c>
      <c r="O12" s="16">
        <f t="shared" si="57"/>
        <v>0</v>
      </c>
      <c r="P12" s="16">
        <f t="shared" si="58"/>
        <v>0</v>
      </c>
      <c r="Q12" s="12">
        <f t="shared" si="59"/>
        <v>0</v>
      </c>
      <c r="R12" s="18">
        <f t="shared" si="60"/>
        <v>0</v>
      </c>
      <c r="S12" s="114">
        <v>130</v>
      </c>
      <c r="V12" s="4" t="str">
        <f t="shared" si="61"/>
        <v/>
      </c>
      <c r="X12" s="4">
        <f t="shared" si="62"/>
        <v>0</v>
      </c>
      <c r="Y12" s="20">
        <f t="shared" si="63"/>
        <v>0</v>
      </c>
      <c r="AA12" s="4">
        <f t="shared" si="64"/>
        <v>0</v>
      </c>
      <c r="AB12" s="4">
        <f t="shared" si="65"/>
        <v>0</v>
      </c>
      <c r="AD12" s="4">
        <f t="shared" si="66"/>
        <v>0</v>
      </c>
      <c r="AE12" s="4">
        <f t="shared" si="67"/>
        <v>0</v>
      </c>
      <c r="AG12" s="4">
        <f t="shared" si="68"/>
        <v>0</v>
      </c>
      <c r="AH12" s="4">
        <f t="shared" si="69"/>
        <v>0</v>
      </c>
      <c r="AI12" s="109"/>
      <c r="AJ12" s="4">
        <f t="shared" si="70"/>
        <v>0</v>
      </c>
      <c r="AK12" s="4">
        <f t="shared" si="71"/>
        <v>0</v>
      </c>
      <c r="AM12" s="4">
        <f t="shared" si="72"/>
        <v>0</v>
      </c>
      <c r="AN12" s="4">
        <f t="shared" si="73"/>
        <v>0</v>
      </c>
      <c r="AP12" s="4">
        <f t="shared" si="74"/>
        <v>0</v>
      </c>
      <c r="AQ12" s="4">
        <f t="shared" si="75"/>
        <v>0</v>
      </c>
      <c r="AS12" s="4">
        <f t="shared" si="76"/>
        <v>0</v>
      </c>
      <c r="AT12" s="4">
        <f t="shared" si="77"/>
        <v>0</v>
      </c>
      <c r="AV12" s="4">
        <f t="shared" si="78"/>
        <v>0</v>
      </c>
      <c r="AW12" s="4">
        <f t="shared" si="79"/>
        <v>0</v>
      </c>
      <c r="BA12" s="4">
        <f t="shared" si="80"/>
        <v>0</v>
      </c>
      <c r="BB12" s="4">
        <f t="shared" si="81"/>
        <v>0</v>
      </c>
      <c r="BF12" s="4">
        <f t="shared" si="82"/>
        <v>0</v>
      </c>
      <c r="BG12" s="4">
        <f t="shared" si="83"/>
        <v>0</v>
      </c>
      <c r="BI12" s="4">
        <f t="shared" si="84"/>
        <v>0</v>
      </c>
      <c r="BJ12" s="4">
        <f t="shared" si="85"/>
        <v>0</v>
      </c>
      <c r="BK12" s="111"/>
      <c r="BM12" s="4" t="str">
        <f>IF(ISNUMBER(BL12),_xlfn.XLOOKUP(A12,Unit_Codes[Unit Codes],Unit_Codes[CWS Hrs. Per Student],0),"")</f>
        <v/>
      </c>
      <c r="BN12" s="4">
        <f t="shared" si="86"/>
        <v>0</v>
      </c>
      <c r="BO12" s="20">
        <f t="shared" si="87"/>
        <v>0</v>
      </c>
      <c r="BQ12" s="20">
        <f t="shared" si="88"/>
        <v>0</v>
      </c>
    </row>
    <row r="13" spans="1:69" x14ac:dyDescent="0.25">
      <c r="A13" s="105" t="s">
        <v>107</v>
      </c>
      <c r="B13" s="105" t="s">
        <v>221</v>
      </c>
      <c r="C13" s="105" t="s">
        <v>826</v>
      </c>
      <c r="D13">
        <f>_xlfn.XLOOKUP(A13,Unit_Codes[Unit Codes],Unit_Codes[Enrolment '# (29.04.24)],"",0)</f>
        <v>637</v>
      </c>
      <c r="E13" t="str">
        <f t="shared" si="48"/>
        <v/>
      </c>
      <c r="F13" t="str">
        <f t="shared" si="49"/>
        <v>MATH1721Dummy, 06, 00000006</v>
      </c>
      <c r="G13">
        <f>COUNTIF($F$3:F13,F13)</f>
        <v>1</v>
      </c>
      <c r="H13" s="52" t="str">
        <f t="shared" si="50"/>
        <v>MATH1721Dummy, 06, 000000061</v>
      </c>
      <c r="I13" s="5">
        <f t="shared" si="51"/>
        <v>560</v>
      </c>
      <c r="J13" s="5">
        <f t="shared" si="52"/>
        <v>32.463768115942031</v>
      </c>
      <c r="K13" s="10">
        <f t="shared" si="53"/>
        <v>0</v>
      </c>
      <c r="L13" s="10">
        <f t="shared" si="54"/>
        <v>0</v>
      </c>
      <c r="M13" s="14">
        <f t="shared" si="55"/>
        <v>0</v>
      </c>
      <c r="N13" s="14">
        <f t="shared" si="56"/>
        <v>0</v>
      </c>
      <c r="O13" s="16">
        <f t="shared" si="57"/>
        <v>0</v>
      </c>
      <c r="P13" s="16">
        <f t="shared" si="58"/>
        <v>0</v>
      </c>
      <c r="Q13" s="12">
        <f t="shared" si="59"/>
        <v>0</v>
      </c>
      <c r="R13" s="18">
        <f t="shared" si="60"/>
        <v>0</v>
      </c>
      <c r="S13" s="114">
        <v>560</v>
      </c>
      <c r="V13" s="4" t="str">
        <f t="shared" si="61"/>
        <v/>
      </c>
      <c r="X13" s="4">
        <f t="shared" si="62"/>
        <v>0</v>
      </c>
      <c r="Y13" s="20">
        <f t="shared" si="63"/>
        <v>0</v>
      </c>
      <c r="AA13" s="4">
        <f t="shared" si="64"/>
        <v>0</v>
      </c>
      <c r="AB13" s="4">
        <f t="shared" si="65"/>
        <v>0</v>
      </c>
      <c r="AD13" s="4">
        <f t="shared" si="66"/>
        <v>0</v>
      </c>
      <c r="AE13" s="4">
        <f t="shared" si="67"/>
        <v>0</v>
      </c>
      <c r="AG13" s="4">
        <f t="shared" si="68"/>
        <v>0</v>
      </c>
      <c r="AH13" s="4">
        <f t="shared" si="69"/>
        <v>0</v>
      </c>
      <c r="AI13" s="109"/>
      <c r="AJ13" s="4">
        <f t="shared" si="70"/>
        <v>0</v>
      </c>
      <c r="AK13" s="4">
        <f t="shared" si="71"/>
        <v>0</v>
      </c>
      <c r="AM13" s="4">
        <f t="shared" si="72"/>
        <v>0</v>
      </c>
      <c r="AN13" s="4">
        <f t="shared" si="73"/>
        <v>0</v>
      </c>
      <c r="AP13" s="4">
        <f t="shared" si="74"/>
        <v>0</v>
      </c>
      <c r="AQ13" s="4">
        <f t="shared" si="75"/>
        <v>0</v>
      </c>
      <c r="AS13" s="4">
        <f t="shared" si="76"/>
        <v>0</v>
      </c>
      <c r="AT13" s="4">
        <f t="shared" si="77"/>
        <v>0</v>
      </c>
      <c r="AV13" s="4">
        <f t="shared" si="78"/>
        <v>0</v>
      </c>
      <c r="AW13" s="4">
        <f t="shared" si="79"/>
        <v>0</v>
      </c>
      <c r="BA13" s="4">
        <f t="shared" si="80"/>
        <v>0</v>
      </c>
      <c r="BB13" s="4">
        <f t="shared" si="81"/>
        <v>0</v>
      </c>
      <c r="BF13" s="4">
        <f t="shared" si="82"/>
        <v>0</v>
      </c>
      <c r="BG13" s="4">
        <f t="shared" si="83"/>
        <v>0</v>
      </c>
      <c r="BI13" s="4">
        <f t="shared" si="84"/>
        <v>0</v>
      </c>
      <c r="BJ13" s="4">
        <f t="shared" si="85"/>
        <v>0</v>
      </c>
      <c r="BK13" s="111"/>
      <c r="BM13" s="4" t="str">
        <f>IF(ISNUMBER(BL13),_xlfn.XLOOKUP(A13,Unit_Codes[Unit Codes],Unit_Codes[CWS Hrs. Per Student],0),"")</f>
        <v/>
      </c>
      <c r="BN13" s="4">
        <f t="shared" si="86"/>
        <v>0</v>
      </c>
      <c r="BO13" s="20">
        <f t="shared" si="87"/>
        <v>0</v>
      </c>
      <c r="BQ13" s="20">
        <f t="shared" si="88"/>
        <v>0</v>
      </c>
    </row>
    <row r="14" spans="1:69" x14ac:dyDescent="0.25">
      <c r="A14" s="105" t="s">
        <v>107</v>
      </c>
      <c r="B14" s="105" t="s">
        <v>221</v>
      </c>
      <c r="C14" s="105" t="s">
        <v>832</v>
      </c>
      <c r="D14">
        <f>_xlfn.XLOOKUP(A14,Unit_Codes[Unit Codes],Unit_Codes[Enrolment '# (29.04.24)],"",0)</f>
        <v>637</v>
      </c>
      <c r="E14" t="str">
        <f t="shared" si="48"/>
        <v/>
      </c>
      <c r="F14" t="str">
        <f t="shared" si="49"/>
        <v>MATH1721Dummy, 09, 00000009</v>
      </c>
      <c r="G14">
        <f>COUNTIF($F$3:F14,F14)</f>
        <v>1</v>
      </c>
      <c r="H14" s="52" t="str">
        <f t="shared" si="50"/>
        <v>MATH1721Dummy, 09, 000000091</v>
      </c>
      <c r="I14" s="5">
        <f t="shared" si="51"/>
        <v>130</v>
      </c>
      <c r="J14" s="5">
        <f t="shared" si="52"/>
        <v>7.5362318840579707</v>
      </c>
      <c r="K14" s="10">
        <f t="shared" si="53"/>
        <v>0</v>
      </c>
      <c r="L14" s="10">
        <f t="shared" si="54"/>
        <v>0</v>
      </c>
      <c r="M14" s="14">
        <f t="shared" si="55"/>
        <v>0</v>
      </c>
      <c r="N14" s="14">
        <f t="shared" si="56"/>
        <v>0</v>
      </c>
      <c r="O14" s="16">
        <f t="shared" si="57"/>
        <v>0</v>
      </c>
      <c r="P14" s="16">
        <f t="shared" si="58"/>
        <v>0</v>
      </c>
      <c r="Q14" s="12">
        <f t="shared" si="59"/>
        <v>0</v>
      </c>
      <c r="R14" s="18">
        <f t="shared" si="60"/>
        <v>0</v>
      </c>
      <c r="S14" s="114">
        <v>130</v>
      </c>
      <c r="V14" s="4" t="str">
        <f t="shared" si="61"/>
        <v/>
      </c>
      <c r="X14" s="4">
        <f t="shared" si="62"/>
        <v>0</v>
      </c>
      <c r="Y14" s="20">
        <f t="shared" si="63"/>
        <v>0</v>
      </c>
      <c r="AA14" s="4">
        <f t="shared" si="64"/>
        <v>0</v>
      </c>
      <c r="AB14" s="4">
        <f t="shared" si="65"/>
        <v>0</v>
      </c>
      <c r="AD14" s="4">
        <f t="shared" si="66"/>
        <v>0</v>
      </c>
      <c r="AE14" s="4">
        <f t="shared" si="67"/>
        <v>0</v>
      </c>
      <c r="AG14" s="4">
        <f t="shared" si="68"/>
        <v>0</v>
      </c>
      <c r="AH14" s="4">
        <f t="shared" si="69"/>
        <v>0</v>
      </c>
      <c r="AI14" s="109"/>
      <c r="AJ14" s="4">
        <f t="shared" si="70"/>
        <v>0</v>
      </c>
      <c r="AK14" s="4">
        <f t="shared" si="71"/>
        <v>0</v>
      </c>
      <c r="AM14" s="4">
        <f t="shared" si="72"/>
        <v>0</v>
      </c>
      <c r="AN14" s="4">
        <f t="shared" si="73"/>
        <v>0</v>
      </c>
      <c r="AP14" s="4">
        <f t="shared" si="74"/>
        <v>0</v>
      </c>
      <c r="AQ14" s="4">
        <f t="shared" si="75"/>
        <v>0</v>
      </c>
      <c r="AS14" s="4">
        <f t="shared" si="76"/>
        <v>0</v>
      </c>
      <c r="AT14" s="4">
        <f t="shared" si="77"/>
        <v>0</v>
      </c>
      <c r="AV14" s="4">
        <f t="shared" si="78"/>
        <v>0</v>
      </c>
      <c r="AW14" s="4">
        <f t="shared" si="79"/>
        <v>0</v>
      </c>
      <c r="BA14" s="4">
        <f t="shared" si="80"/>
        <v>0</v>
      </c>
      <c r="BB14" s="4">
        <f t="shared" si="81"/>
        <v>0</v>
      </c>
      <c r="BF14" s="4">
        <f t="shared" si="82"/>
        <v>0</v>
      </c>
      <c r="BG14" s="4">
        <f t="shared" si="83"/>
        <v>0</v>
      </c>
      <c r="BI14" s="4">
        <f t="shared" si="84"/>
        <v>0</v>
      </c>
      <c r="BJ14" s="4">
        <f t="shared" si="85"/>
        <v>0</v>
      </c>
      <c r="BK14" s="111"/>
      <c r="BM14" s="4" t="str">
        <f>IF(ISNUMBER(BL14),_xlfn.XLOOKUP(A14,Unit_Codes[Unit Codes],Unit_Codes[CWS Hrs. Per Student],0),"")</f>
        <v/>
      </c>
      <c r="BN14" s="4">
        <f t="shared" si="86"/>
        <v>0</v>
      </c>
      <c r="BO14" s="20">
        <f t="shared" si="87"/>
        <v>0</v>
      </c>
      <c r="BQ14" s="20">
        <f t="shared" si="88"/>
        <v>0</v>
      </c>
    </row>
    <row r="15" spans="1:69" x14ac:dyDescent="0.25">
      <c r="A15" s="105" t="s">
        <v>128</v>
      </c>
      <c r="B15" s="105" t="s">
        <v>221</v>
      </c>
      <c r="C15" s="105" t="s">
        <v>833</v>
      </c>
      <c r="D15">
        <f>_xlfn.XLOOKUP(A15,Unit_Codes[Unit Codes],Unit_Codes[Enrolment '# (29.04.24)],"",0)</f>
        <v>33</v>
      </c>
      <c r="E15" t="str">
        <f t="shared" ref="E15:E21" si="89">IF(T15="Yes",C15,"")</f>
        <v/>
      </c>
      <c r="F15" t="str">
        <f t="shared" ref="F15:F21" si="90">A15&amp;C15</f>
        <v>PHYS1200Dummy, 18, 00000018</v>
      </c>
      <c r="G15">
        <f>COUNTIF($F$3:F15,F15)</f>
        <v>1</v>
      </c>
      <c r="H15" s="52" t="str">
        <f t="shared" ref="H15:H21" si="91">A15&amp;C15&amp;G15</f>
        <v>PHYS1200Dummy, 18, 000000181</v>
      </c>
      <c r="I15" s="5">
        <f t="shared" ref="I15:I21" si="92">SUM(K15,M15,O15,Q15,S15)</f>
        <v>27.6</v>
      </c>
      <c r="J15" s="5">
        <f t="shared" ref="J15:J21" si="93">I15/17.25</f>
        <v>1.6</v>
      </c>
      <c r="K15" s="10">
        <f t="shared" ref="K15:K21" si="94">X15</f>
        <v>0</v>
      </c>
      <c r="L15" s="10">
        <f t="shared" ref="L15:L21" si="95">K15/17.25</f>
        <v>0</v>
      </c>
      <c r="M15" s="14">
        <f t="shared" ref="M15:M21" si="96">SUM(AA15,AD15,AG15,AJ15,AM15,AP15,AS15,AV15,BA15,BF15,BI15)</f>
        <v>0</v>
      </c>
      <c r="N15" s="14">
        <f t="shared" ref="N15:N21" si="97">M15/17.25</f>
        <v>0</v>
      </c>
      <c r="O15" s="16">
        <f t="shared" ref="O15:O21" si="98">BN15</f>
        <v>0</v>
      </c>
      <c r="P15" s="16">
        <f t="shared" ref="P15:P21" si="99">O15/17.25</f>
        <v>0</v>
      </c>
      <c r="Q15" s="12">
        <f t="shared" ref="Q15:Q21" si="100">BP15</f>
        <v>0</v>
      </c>
      <c r="R15" s="18">
        <f t="shared" ref="R15:R21" si="101">BQ15</f>
        <v>0</v>
      </c>
      <c r="S15" s="114">
        <v>27.6</v>
      </c>
      <c r="V15" s="4" t="str">
        <f t="shared" ref="V15:V21" si="102">IF(AND(T15="Yes",U15&gt;0),(((ROUNDUP(((35+(U15*0.8625))/17.25),1)))),"")</f>
        <v/>
      </c>
      <c r="X15" s="4">
        <f t="shared" ref="X15:X21" si="103">IFERROR(Y15*17.25,0)</f>
        <v>0</v>
      </c>
      <c r="Y15" s="20">
        <f t="shared" ref="Y15:Y21" si="104">IFERROR(V15*W15,0)</f>
        <v>0</v>
      </c>
      <c r="AA15" s="4">
        <f t="shared" ref="AA15:AA21" si="105">Z15*2</f>
        <v>0</v>
      </c>
      <c r="AB15" s="4">
        <f t="shared" ref="AB15:AB21" si="106">AA15/17.25</f>
        <v>0</v>
      </c>
      <c r="AD15" s="4">
        <f t="shared" ref="AD15:AD21" si="107">AC15*3</f>
        <v>0</v>
      </c>
      <c r="AE15" s="4">
        <f t="shared" ref="AE15:AE21" si="108">AD15/17.25</f>
        <v>0</v>
      </c>
      <c r="AG15" s="4">
        <f t="shared" ref="AG15:AG21" si="109">AF15*4</f>
        <v>0</v>
      </c>
      <c r="AH15" s="4">
        <f t="shared" ref="AH15:AH21" si="110">AG15/17.25</f>
        <v>0</v>
      </c>
      <c r="AI15" s="109"/>
      <c r="AJ15" s="4">
        <f t="shared" ref="AJ15:AJ21" si="111">AI15*3</f>
        <v>0</v>
      </c>
      <c r="AK15" s="4">
        <f t="shared" ref="AK15:AK21" si="112">AJ15/17.25</f>
        <v>0</v>
      </c>
      <c r="AM15" s="4">
        <f t="shared" ref="AM15:AM21" si="113">AL15*2</f>
        <v>0</v>
      </c>
      <c r="AN15" s="4">
        <f t="shared" ref="AN15:AN21" si="114">AM15/17.25</f>
        <v>0</v>
      </c>
      <c r="AP15" s="4">
        <f t="shared" ref="AP15:AP21" si="115">AO15</f>
        <v>0</v>
      </c>
      <c r="AQ15" s="4">
        <f t="shared" ref="AQ15:AQ21" si="116">AP15/17.25</f>
        <v>0</v>
      </c>
      <c r="AS15" s="4">
        <f t="shared" ref="AS15:AS21" si="117">AR15</f>
        <v>0</v>
      </c>
      <c r="AT15" s="4">
        <f t="shared" ref="AT15:AT21" si="118">AS15/17.25</f>
        <v>0</v>
      </c>
      <c r="AV15" s="4">
        <f t="shared" ref="AV15:AV21" si="119">AU15</f>
        <v>0</v>
      </c>
      <c r="AW15" s="4">
        <f t="shared" ref="AW15:AW21" si="120">AV15/17.25</f>
        <v>0</v>
      </c>
      <c r="BA15" s="4">
        <f t="shared" ref="BA15:BA21" si="121">AY15*(AZ15/60)</f>
        <v>0</v>
      </c>
      <c r="BB15" s="4">
        <f t="shared" ref="BB15:BB21" si="122">BA15/17.25</f>
        <v>0</v>
      </c>
      <c r="BF15" s="4">
        <f t="shared" ref="BF15:BF21" si="123">BD15*(BE15/60)</f>
        <v>0</v>
      </c>
      <c r="BG15" s="4">
        <f t="shared" ref="BG15:BG21" si="124">BF15/17.25</f>
        <v>0</v>
      </c>
      <c r="BI15" s="4">
        <f t="shared" ref="BI15:BI21" si="125">BH15</f>
        <v>0</v>
      </c>
      <c r="BJ15" s="4">
        <f t="shared" ref="BJ15:BJ21" si="126">BI15/17.25</f>
        <v>0</v>
      </c>
      <c r="BK15" s="111"/>
      <c r="BM15" s="4" t="str">
        <f>IF(ISNUMBER(BL15),_xlfn.XLOOKUP(A15,Unit_Codes[Unit Codes],Unit_Codes[CWS Hrs. Per Student],0),"")</f>
        <v/>
      </c>
      <c r="BN15" s="4">
        <f t="shared" ref="BN15:BN21" si="127">IFERROR(BL15*BM15,0)</f>
        <v>0</v>
      </c>
      <c r="BO15" s="20">
        <f t="shared" ref="BO15:BO21" si="128">BN15/17.25</f>
        <v>0</v>
      </c>
      <c r="BQ15" s="20">
        <f t="shared" ref="BQ15:BQ21" si="129">BP15/17.25</f>
        <v>0</v>
      </c>
    </row>
    <row r="16" spans="1:69" x14ac:dyDescent="0.25">
      <c r="A16" s="105" t="s">
        <v>128</v>
      </c>
      <c r="B16" s="105" t="s">
        <v>221</v>
      </c>
      <c r="C16" s="105" t="s">
        <v>834</v>
      </c>
      <c r="D16">
        <f>_xlfn.XLOOKUP(A16,Unit_Codes[Unit Codes],Unit_Codes[Enrolment '# (29.04.24)],"",0)</f>
        <v>33</v>
      </c>
      <c r="E16" t="str">
        <f t="shared" si="89"/>
        <v/>
      </c>
      <c r="F16" t="str">
        <f t="shared" si="90"/>
        <v>PHYS1200Dummy, 16, 00000016</v>
      </c>
      <c r="G16">
        <f>COUNTIF($F$3:F16,F16)</f>
        <v>1</v>
      </c>
      <c r="H16" s="52" t="str">
        <f t="shared" si="91"/>
        <v>PHYS1200Dummy, 16, 000000161</v>
      </c>
      <c r="I16" s="66">
        <f t="shared" si="92"/>
        <v>55.2</v>
      </c>
      <c r="J16" s="66">
        <f t="shared" si="93"/>
        <v>3.2</v>
      </c>
      <c r="K16" s="66">
        <f t="shared" si="94"/>
        <v>0</v>
      </c>
      <c r="L16" s="66">
        <f t="shared" si="95"/>
        <v>0</v>
      </c>
      <c r="M16" s="66">
        <f t="shared" si="96"/>
        <v>0</v>
      </c>
      <c r="N16" s="66">
        <f t="shared" si="97"/>
        <v>0</v>
      </c>
      <c r="O16" s="66">
        <f t="shared" si="98"/>
        <v>0</v>
      </c>
      <c r="P16" s="66">
        <f t="shared" si="99"/>
        <v>0</v>
      </c>
      <c r="Q16" s="66">
        <f t="shared" si="100"/>
        <v>0</v>
      </c>
      <c r="R16" s="148">
        <f t="shared" si="101"/>
        <v>0</v>
      </c>
      <c r="S16" s="114">
        <v>55.2</v>
      </c>
      <c r="V16" s="66" t="str">
        <f t="shared" si="102"/>
        <v/>
      </c>
      <c r="X16" s="66">
        <f t="shared" si="103"/>
        <v>0</v>
      </c>
      <c r="Y16" s="148">
        <f t="shared" si="104"/>
        <v>0</v>
      </c>
      <c r="AA16" s="66">
        <f t="shared" si="105"/>
        <v>0</v>
      </c>
      <c r="AB16" s="66">
        <f t="shared" si="106"/>
        <v>0</v>
      </c>
      <c r="AD16" s="66">
        <f t="shared" si="107"/>
        <v>0</v>
      </c>
      <c r="AE16" s="66">
        <f t="shared" si="108"/>
        <v>0</v>
      </c>
      <c r="AG16" s="66">
        <f t="shared" si="109"/>
        <v>0</v>
      </c>
      <c r="AH16" s="66">
        <f t="shared" si="110"/>
        <v>0</v>
      </c>
      <c r="AI16" s="109"/>
      <c r="AJ16" s="66">
        <f t="shared" si="111"/>
        <v>0</v>
      </c>
      <c r="AK16" s="66">
        <f t="shared" si="112"/>
        <v>0</v>
      </c>
      <c r="AM16" s="66">
        <f t="shared" si="113"/>
        <v>0</v>
      </c>
      <c r="AN16" s="66">
        <f t="shared" si="114"/>
        <v>0</v>
      </c>
      <c r="AP16" s="66">
        <f t="shared" si="115"/>
        <v>0</v>
      </c>
      <c r="AQ16" s="66">
        <f t="shared" si="116"/>
        <v>0</v>
      </c>
      <c r="AS16" s="66">
        <f t="shared" si="117"/>
        <v>0</v>
      </c>
      <c r="AT16" s="66">
        <f t="shared" si="118"/>
        <v>0</v>
      </c>
      <c r="AV16" s="66">
        <f t="shared" si="119"/>
        <v>0</v>
      </c>
      <c r="AW16" s="66">
        <f t="shared" si="120"/>
        <v>0</v>
      </c>
      <c r="BA16" s="66">
        <f t="shared" si="121"/>
        <v>0</v>
      </c>
      <c r="BB16" s="66">
        <f t="shared" si="122"/>
        <v>0</v>
      </c>
      <c r="BF16" s="66">
        <f t="shared" si="123"/>
        <v>0</v>
      </c>
      <c r="BG16" s="66">
        <f t="shared" si="124"/>
        <v>0</v>
      </c>
      <c r="BI16" s="66">
        <f t="shared" si="125"/>
        <v>0</v>
      </c>
      <c r="BJ16" s="66">
        <f t="shared" si="126"/>
        <v>0</v>
      </c>
      <c r="BK16" s="111"/>
      <c r="BM16" s="66" t="str">
        <f>IF(ISNUMBER(BL16),_xlfn.XLOOKUP(A16,Unit_Codes[Unit Codes],Unit_Codes[CWS Hrs. Per Student],0),"")</f>
        <v/>
      </c>
      <c r="BN16" s="66">
        <f t="shared" si="127"/>
        <v>0</v>
      </c>
      <c r="BO16" s="148">
        <f t="shared" si="128"/>
        <v>0</v>
      </c>
      <c r="BQ16" s="148">
        <f t="shared" si="129"/>
        <v>0</v>
      </c>
    </row>
    <row r="17" spans="1:69" x14ac:dyDescent="0.25">
      <c r="A17" s="105" t="s">
        <v>128</v>
      </c>
      <c r="B17" s="105" t="s">
        <v>221</v>
      </c>
      <c r="C17" s="105" t="s">
        <v>826</v>
      </c>
      <c r="D17">
        <f>_xlfn.XLOOKUP(A17,Unit_Codes[Unit Codes],Unit_Codes[Enrolment '# (29.04.24)],"",0)</f>
        <v>33</v>
      </c>
      <c r="E17" t="str">
        <f t="shared" si="89"/>
        <v/>
      </c>
      <c r="F17" t="str">
        <f t="shared" si="90"/>
        <v>PHYS1200Dummy, 06, 00000006</v>
      </c>
      <c r="G17">
        <f>COUNTIF($F$3:F17,F17)</f>
        <v>1</v>
      </c>
      <c r="H17" s="52" t="str">
        <f t="shared" si="91"/>
        <v>PHYS1200Dummy, 06, 000000061</v>
      </c>
      <c r="I17" s="5">
        <f t="shared" si="92"/>
        <v>13.8</v>
      </c>
      <c r="J17" s="5">
        <f t="shared" si="93"/>
        <v>0.8</v>
      </c>
      <c r="K17" s="10">
        <f t="shared" si="94"/>
        <v>0</v>
      </c>
      <c r="L17" s="10">
        <f t="shared" si="95"/>
        <v>0</v>
      </c>
      <c r="M17" s="14">
        <f t="shared" si="96"/>
        <v>0</v>
      </c>
      <c r="N17" s="14">
        <f t="shared" si="97"/>
        <v>0</v>
      </c>
      <c r="O17" s="16">
        <f t="shared" si="98"/>
        <v>0</v>
      </c>
      <c r="P17" s="16">
        <f t="shared" si="99"/>
        <v>0</v>
      </c>
      <c r="Q17" s="12">
        <f t="shared" si="100"/>
        <v>0</v>
      </c>
      <c r="R17" s="18">
        <f t="shared" si="101"/>
        <v>0</v>
      </c>
      <c r="S17" s="114">
        <v>13.8</v>
      </c>
      <c r="V17" s="4" t="str">
        <f t="shared" si="102"/>
        <v/>
      </c>
      <c r="X17" s="4">
        <f t="shared" si="103"/>
        <v>0</v>
      </c>
      <c r="Y17" s="20">
        <f t="shared" si="104"/>
        <v>0</v>
      </c>
      <c r="AA17" s="4">
        <f t="shared" si="105"/>
        <v>0</v>
      </c>
      <c r="AB17" s="4">
        <f t="shared" si="106"/>
        <v>0</v>
      </c>
      <c r="AD17" s="4">
        <f t="shared" si="107"/>
        <v>0</v>
      </c>
      <c r="AE17" s="4">
        <f t="shared" si="108"/>
        <v>0</v>
      </c>
      <c r="AG17" s="4">
        <f t="shared" si="109"/>
        <v>0</v>
      </c>
      <c r="AH17" s="4">
        <f t="shared" si="110"/>
        <v>0</v>
      </c>
      <c r="AI17" s="109"/>
      <c r="AJ17" s="4">
        <f t="shared" si="111"/>
        <v>0</v>
      </c>
      <c r="AK17" s="4">
        <f t="shared" si="112"/>
        <v>0</v>
      </c>
      <c r="AM17" s="4">
        <f t="shared" si="113"/>
        <v>0</v>
      </c>
      <c r="AN17" s="4">
        <f t="shared" si="114"/>
        <v>0</v>
      </c>
      <c r="AP17" s="4">
        <f t="shared" si="115"/>
        <v>0</v>
      </c>
      <c r="AQ17" s="4">
        <f t="shared" si="116"/>
        <v>0</v>
      </c>
      <c r="AS17" s="4">
        <f t="shared" si="117"/>
        <v>0</v>
      </c>
      <c r="AT17" s="4">
        <f t="shared" si="118"/>
        <v>0</v>
      </c>
      <c r="AV17" s="4">
        <f t="shared" si="119"/>
        <v>0</v>
      </c>
      <c r="AW17" s="4">
        <f t="shared" si="120"/>
        <v>0</v>
      </c>
      <c r="BA17" s="4">
        <f t="shared" si="121"/>
        <v>0</v>
      </c>
      <c r="BB17" s="4">
        <f t="shared" si="122"/>
        <v>0</v>
      </c>
      <c r="BF17" s="4">
        <f t="shared" si="123"/>
        <v>0</v>
      </c>
      <c r="BG17" s="4">
        <f t="shared" si="124"/>
        <v>0</v>
      </c>
      <c r="BI17" s="4">
        <f t="shared" si="125"/>
        <v>0</v>
      </c>
      <c r="BJ17" s="4">
        <f t="shared" si="126"/>
        <v>0</v>
      </c>
      <c r="BK17" s="111"/>
      <c r="BM17" s="4" t="str">
        <f>IF(ISNUMBER(BL17),_xlfn.XLOOKUP(A17,Unit_Codes[Unit Codes],Unit_Codes[CWS Hrs. Per Student],0),"")</f>
        <v/>
      </c>
      <c r="BN17" s="4">
        <f t="shared" si="127"/>
        <v>0</v>
      </c>
      <c r="BO17" s="20">
        <f t="shared" si="128"/>
        <v>0</v>
      </c>
      <c r="BQ17" s="20">
        <f t="shared" si="129"/>
        <v>0</v>
      </c>
    </row>
    <row r="18" spans="1:69" x14ac:dyDescent="0.25">
      <c r="A18" s="105" t="s">
        <v>169</v>
      </c>
      <c r="B18" s="105" t="s">
        <v>221</v>
      </c>
      <c r="C18" s="105" t="s">
        <v>831</v>
      </c>
      <c r="D18">
        <f>_xlfn.XLOOKUP(A18,Unit_Codes[Unit Codes],Unit_Codes[Enrolment '# (29.04.24)],"",0)</f>
        <v>79</v>
      </c>
      <c r="E18" t="str">
        <f t="shared" si="89"/>
        <v/>
      </c>
      <c r="F18" t="str">
        <f t="shared" si="90"/>
        <v>PHYS3001Dummy, 08, 00000008</v>
      </c>
      <c r="G18">
        <f>COUNTIF($F$3:F18,F18)</f>
        <v>1</v>
      </c>
      <c r="H18" s="52" t="str">
        <f t="shared" si="91"/>
        <v>PHYS3001Dummy, 08, 000000081</v>
      </c>
      <c r="I18" s="5">
        <f t="shared" si="92"/>
        <v>248.4</v>
      </c>
      <c r="J18" s="5">
        <f t="shared" si="93"/>
        <v>14.4</v>
      </c>
      <c r="K18" s="10">
        <f t="shared" si="94"/>
        <v>0</v>
      </c>
      <c r="L18" s="10">
        <f t="shared" si="95"/>
        <v>0</v>
      </c>
      <c r="M18" s="14">
        <f t="shared" si="96"/>
        <v>0</v>
      </c>
      <c r="N18" s="14">
        <f t="shared" si="97"/>
        <v>0</v>
      </c>
      <c r="O18" s="16">
        <f t="shared" si="98"/>
        <v>0</v>
      </c>
      <c r="P18" s="16">
        <f t="shared" si="99"/>
        <v>0</v>
      </c>
      <c r="Q18" s="12">
        <f t="shared" si="100"/>
        <v>0</v>
      </c>
      <c r="R18" s="18">
        <f t="shared" si="101"/>
        <v>0</v>
      </c>
      <c r="S18" s="114">
        <v>248.4</v>
      </c>
      <c r="V18" s="4" t="str">
        <f t="shared" si="102"/>
        <v/>
      </c>
      <c r="X18" s="4">
        <f t="shared" si="103"/>
        <v>0</v>
      </c>
      <c r="Y18" s="20">
        <f t="shared" si="104"/>
        <v>0</v>
      </c>
      <c r="AA18" s="4">
        <f t="shared" si="105"/>
        <v>0</v>
      </c>
      <c r="AB18" s="4">
        <f t="shared" si="106"/>
        <v>0</v>
      </c>
      <c r="AD18" s="4">
        <f t="shared" si="107"/>
        <v>0</v>
      </c>
      <c r="AE18" s="4">
        <f t="shared" si="108"/>
        <v>0</v>
      </c>
      <c r="AG18" s="4">
        <f t="shared" si="109"/>
        <v>0</v>
      </c>
      <c r="AH18" s="4">
        <f t="shared" si="110"/>
        <v>0</v>
      </c>
      <c r="AI18" s="109"/>
      <c r="AJ18" s="4">
        <f t="shared" si="111"/>
        <v>0</v>
      </c>
      <c r="AK18" s="4">
        <f t="shared" si="112"/>
        <v>0</v>
      </c>
      <c r="AM18" s="4">
        <f t="shared" si="113"/>
        <v>0</v>
      </c>
      <c r="AN18" s="4">
        <f t="shared" si="114"/>
        <v>0</v>
      </c>
      <c r="AP18" s="4">
        <f t="shared" si="115"/>
        <v>0</v>
      </c>
      <c r="AQ18" s="4">
        <f t="shared" si="116"/>
        <v>0</v>
      </c>
      <c r="AS18" s="4">
        <f t="shared" si="117"/>
        <v>0</v>
      </c>
      <c r="AT18" s="4">
        <f t="shared" si="118"/>
        <v>0</v>
      </c>
      <c r="AV18" s="4">
        <f t="shared" si="119"/>
        <v>0</v>
      </c>
      <c r="AW18" s="4">
        <f t="shared" si="120"/>
        <v>0</v>
      </c>
      <c r="BA18" s="4">
        <f t="shared" si="121"/>
        <v>0</v>
      </c>
      <c r="BB18" s="4">
        <f t="shared" si="122"/>
        <v>0</v>
      </c>
      <c r="BF18" s="4">
        <f t="shared" si="123"/>
        <v>0</v>
      </c>
      <c r="BG18" s="4">
        <f t="shared" si="124"/>
        <v>0</v>
      </c>
      <c r="BI18" s="4">
        <f t="shared" si="125"/>
        <v>0</v>
      </c>
      <c r="BJ18" s="4">
        <f t="shared" si="126"/>
        <v>0</v>
      </c>
      <c r="BK18" s="111"/>
      <c r="BM18" s="4" t="str">
        <f>IF(ISNUMBER(BL18),_xlfn.XLOOKUP(A18,Unit_Codes[Unit Codes],Unit_Codes[CWS Hrs. Per Student],0),"")</f>
        <v/>
      </c>
      <c r="BN18" s="4">
        <f t="shared" si="127"/>
        <v>0</v>
      </c>
      <c r="BO18" s="20">
        <f t="shared" si="128"/>
        <v>0</v>
      </c>
      <c r="BQ18" s="20">
        <f t="shared" si="129"/>
        <v>0</v>
      </c>
    </row>
    <row r="19" spans="1:69" x14ac:dyDescent="0.25">
      <c r="A19" s="105" t="s">
        <v>169</v>
      </c>
      <c r="B19" s="105" t="s">
        <v>221</v>
      </c>
      <c r="C19" s="105" t="s">
        <v>835</v>
      </c>
      <c r="D19">
        <f>_xlfn.XLOOKUP(A19,Unit_Codes[Unit Codes],Unit_Codes[Enrolment '# (29.04.24)],"",0)</f>
        <v>79</v>
      </c>
      <c r="E19" t="str">
        <f t="shared" si="89"/>
        <v/>
      </c>
      <c r="F19" t="str">
        <f t="shared" si="90"/>
        <v>PHYS3001Dummy, 11, 00000011</v>
      </c>
      <c r="G19">
        <f>COUNTIF($F$3:F19,F19)</f>
        <v>1</v>
      </c>
      <c r="H19" s="52" t="str">
        <f t="shared" si="91"/>
        <v>PHYS3001Dummy, 11, 000000111</v>
      </c>
      <c r="I19" s="5">
        <f t="shared" si="92"/>
        <v>27.6</v>
      </c>
      <c r="J19" s="5">
        <f t="shared" si="93"/>
        <v>1.6</v>
      </c>
      <c r="K19" s="10">
        <f t="shared" si="94"/>
        <v>0</v>
      </c>
      <c r="L19" s="10">
        <f t="shared" si="95"/>
        <v>0</v>
      </c>
      <c r="M19" s="14">
        <f t="shared" si="96"/>
        <v>0</v>
      </c>
      <c r="N19" s="14">
        <f t="shared" si="97"/>
        <v>0</v>
      </c>
      <c r="O19" s="16">
        <f t="shared" si="98"/>
        <v>0</v>
      </c>
      <c r="P19" s="16">
        <f t="shared" si="99"/>
        <v>0</v>
      </c>
      <c r="Q19" s="12">
        <f t="shared" si="100"/>
        <v>0</v>
      </c>
      <c r="R19" s="18">
        <f t="shared" si="101"/>
        <v>0</v>
      </c>
      <c r="S19" s="114">
        <v>27.6</v>
      </c>
      <c r="V19" s="4" t="str">
        <f t="shared" si="102"/>
        <v/>
      </c>
      <c r="X19" s="4">
        <f t="shared" si="103"/>
        <v>0</v>
      </c>
      <c r="Y19" s="20">
        <f t="shared" si="104"/>
        <v>0</v>
      </c>
      <c r="AA19" s="4">
        <f t="shared" si="105"/>
        <v>0</v>
      </c>
      <c r="AB19" s="4">
        <f t="shared" si="106"/>
        <v>0</v>
      </c>
      <c r="AD19" s="4">
        <f t="shared" si="107"/>
        <v>0</v>
      </c>
      <c r="AE19" s="4">
        <f t="shared" si="108"/>
        <v>0</v>
      </c>
      <c r="AG19" s="4">
        <f t="shared" si="109"/>
        <v>0</v>
      </c>
      <c r="AH19" s="4">
        <f t="shared" si="110"/>
        <v>0</v>
      </c>
      <c r="AI19" s="109"/>
      <c r="AJ19" s="4">
        <f t="shared" si="111"/>
        <v>0</v>
      </c>
      <c r="AK19" s="4">
        <f t="shared" si="112"/>
        <v>0</v>
      </c>
      <c r="AM19" s="4">
        <f t="shared" si="113"/>
        <v>0</v>
      </c>
      <c r="AN19" s="4">
        <f t="shared" si="114"/>
        <v>0</v>
      </c>
      <c r="AP19" s="4">
        <f t="shared" si="115"/>
        <v>0</v>
      </c>
      <c r="AQ19" s="4">
        <f t="shared" si="116"/>
        <v>0</v>
      </c>
      <c r="AS19" s="4">
        <f t="shared" si="117"/>
        <v>0</v>
      </c>
      <c r="AT19" s="4">
        <f t="shared" si="118"/>
        <v>0</v>
      </c>
      <c r="AV19" s="4">
        <f t="shared" si="119"/>
        <v>0</v>
      </c>
      <c r="AW19" s="4">
        <f t="shared" si="120"/>
        <v>0</v>
      </c>
      <c r="BA19" s="4">
        <f t="shared" si="121"/>
        <v>0</v>
      </c>
      <c r="BB19" s="4">
        <f t="shared" si="122"/>
        <v>0</v>
      </c>
      <c r="BF19" s="4">
        <f t="shared" si="123"/>
        <v>0</v>
      </c>
      <c r="BG19" s="4">
        <f t="shared" si="124"/>
        <v>0</v>
      </c>
      <c r="BI19" s="4">
        <f t="shared" si="125"/>
        <v>0</v>
      </c>
      <c r="BJ19" s="4">
        <f t="shared" si="126"/>
        <v>0</v>
      </c>
      <c r="BK19" s="111"/>
      <c r="BM19" s="4" t="str">
        <f>IF(ISNUMBER(BL19),_xlfn.XLOOKUP(A19,Unit_Codes[Unit Codes],Unit_Codes[CWS Hrs. Per Student],0),"")</f>
        <v/>
      </c>
      <c r="BN19" s="4">
        <f t="shared" si="127"/>
        <v>0</v>
      </c>
      <c r="BO19" s="20">
        <f t="shared" si="128"/>
        <v>0</v>
      </c>
      <c r="BQ19" s="20">
        <f t="shared" si="129"/>
        <v>0</v>
      </c>
    </row>
    <row r="20" spans="1:69" x14ac:dyDescent="0.25">
      <c r="A20" s="105" t="s">
        <v>153</v>
      </c>
      <c r="B20" s="105" t="s">
        <v>221</v>
      </c>
      <c r="C20" s="105" t="s">
        <v>836</v>
      </c>
      <c r="D20">
        <f>_xlfn.XLOOKUP(A20,Unit_Codes[Unit Codes],Unit_Codes[Enrolment '# (29.04.24)],"",0)</f>
        <v>54</v>
      </c>
      <c r="E20" t="str">
        <f t="shared" si="89"/>
        <v/>
      </c>
      <c r="F20" t="str">
        <f t="shared" si="90"/>
        <v>PHYS3002Dummy, 14, 00000014</v>
      </c>
      <c r="G20">
        <f>COUNTIF($F$3:F20,F20)</f>
        <v>1</v>
      </c>
      <c r="H20" s="52" t="str">
        <f t="shared" si="91"/>
        <v>PHYS3002Dummy, 14, 000000141</v>
      </c>
      <c r="I20" s="5">
        <f t="shared" si="92"/>
        <v>248.4</v>
      </c>
      <c r="J20" s="5">
        <f t="shared" si="93"/>
        <v>14.4</v>
      </c>
      <c r="K20" s="10">
        <f t="shared" si="94"/>
        <v>0</v>
      </c>
      <c r="L20" s="10">
        <f t="shared" si="95"/>
        <v>0</v>
      </c>
      <c r="M20" s="14">
        <f t="shared" si="96"/>
        <v>0</v>
      </c>
      <c r="N20" s="14">
        <f t="shared" si="97"/>
        <v>0</v>
      </c>
      <c r="O20" s="16">
        <f t="shared" si="98"/>
        <v>0</v>
      </c>
      <c r="P20" s="16">
        <f t="shared" si="99"/>
        <v>0</v>
      </c>
      <c r="Q20" s="12">
        <f t="shared" si="100"/>
        <v>0</v>
      </c>
      <c r="R20" s="18">
        <f t="shared" si="101"/>
        <v>0</v>
      </c>
      <c r="S20" s="114">
        <v>248.4</v>
      </c>
      <c r="V20" s="4" t="str">
        <f t="shared" si="102"/>
        <v/>
      </c>
      <c r="X20" s="4">
        <f t="shared" si="103"/>
        <v>0</v>
      </c>
      <c r="Y20" s="20">
        <f t="shared" si="104"/>
        <v>0</v>
      </c>
      <c r="AA20" s="4">
        <f t="shared" si="105"/>
        <v>0</v>
      </c>
      <c r="AB20" s="4">
        <f t="shared" si="106"/>
        <v>0</v>
      </c>
      <c r="AD20" s="4">
        <f t="shared" si="107"/>
        <v>0</v>
      </c>
      <c r="AE20" s="4">
        <f t="shared" si="108"/>
        <v>0</v>
      </c>
      <c r="AG20" s="4">
        <f t="shared" si="109"/>
        <v>0</v>
      </c>
      <c r="AH20" s="4">
        <f t="shared" si="110"/>
        <v>0</v>
      </c>
      <c r="AI20" s="109"/>
      <c r="AJ20" s="4">
        <f t="shared" si="111"/>
        <v>0</v>
      </c>
      <c r="AK20" s="4">
        <f t="shared" si="112"/>
        <v>0</v>
      </c>
      <c r="AM20" s="4">
        <f t="shared" si="113"/>
        <v>0</v>
      </c>
      <c r="AN20" s="4">
        <f t="shared" si="114"/>
        <v>0</v>
      </c>
      <c r="AP20" s="4">
        <f t="shared" si="115"/>
        <v>0</v>
      </c>
      <c r="AQ20" s="4">
        <f t="shared" si="116"/>
        <v>0</v>
      </c>
      <c r="AS20" s="4">
        <f t="shared" si="117"/>
        <v>0</v>
      </c>
      <c r="AT20" s="4">
        <f t="shared" si="118"/>
        <v>0</v>
      </c>
      <c r="AV20" s="4">
        <f t="shared" si="119"/>
        <v>0</v>
      </c>
      <c r="AW20" s="4">
        <f t="shared" si="120"/>
        <v>0</v>
      </c>
      <c r="BA20" s="4">
        <f t="shared" si="121"/>
        <v>0</v>
      </c>
      <c r="BB20" s="4">
        <f t="shared" si="122"/>
        <v>0</v>
      </c>
      <c r="BF20" s="4">
        <f t="shared" si="123"/>
        <v>0</v>
      </c>
      <c r="BG20" s="4">
        <f t="shared" si="124"/>
        <v>0</v>
      </c>
      <c r="BI20" s="4">
        <f t="shared" si="125"/>
        <v>0</v>
      </c>
      <c r="BJ20" s="4">
        <f t="shared" si="126"/>
        <v>0</v>
      </c>
      <c r="BK20" s="111"/>
      <c r="BM20" s="4" t="str">
        <f>IF(ISNUMBER(BL20),_xlfn.XLOOKUP(A20,Unit_Codes[Unit Codes],Unit_Codes[CWS Hrs. Per Student],0),"")</f>
        <v/>
      </c>
      <c r="BN20" s="4">
        <f t="shared" si="127"/>
        <v>0</v>
      </c>
      <c r="BO20" s="20">
        <f t="shared" si="128"/>
        <v>0</v>
      </c>
      <c r="BQ20" s="20">
        <f t="shared" si="129"/>
        <v>0</v>
      </c>
    </row>
    <row r="21" spans="1:69" x14ac:dyDescent="0.25">
      <c r="A21" s="105" t="s">
        <v>153</v>
      </c>
      <c r="B21" s="105" t="s">
        <v>221</v>
      </c>
      <c r="C21" s="105" t="s">
        <v>837</v>
      </c>
      <c r="D21">
        <f>_xlfn.XLOOKUP(A21,Unit_Codes[Unit Codes],Unit_Codes[Enrolment '# (29.04.24)],"",0)</f>
        <v>54</v>
      </c>
      <c r="E21" t="str">
        <f t="shared" si="89"/>
        <v/>
      </c>
      <c r="F21" t="str">
        <f t="shared" si="90"/>
        <v>PHYS3002Dummy, 15, 00000015</v>
      </c>
      <c r="G21">
        <f>COUNTIF($F$3:F21,F21)</f>
        <v>1</v>
      </c>
      <c r="H21" s="52" t="str">
        <f t="shared" si="91"/>
        <v>PHYS3002Dummy, 15, 000000151</v>
      </c>
      <c r="I21" s="5">
        <f t="shared" si="92"/>
        <v>27.6</v>
      </c>
      <c r="J21" s="5">
        <f t="shared" si="93"/>
        <v>1.6</v>
      </c>
      <c r="K21" s="10">
        <f t="shared" si="94"/>
        <v>0</v>
      </c>
      <c r="L21" s="10">
        <f t="shared" si="95"/>
        <v>0</v>
      </c>
      <c r="M21" s="14">
        <f t="shared" si="96"/>
        <v>0</v>
      </c>
      <c r="N21" s="14">
        <f t="shared" si="97"/>
        <v>0</v>
      </c>
      <c r="O21" s="16">
        <f t="shared" si="98"/>
        <v>0</v>
      </c>
      <c r="P21" s="16">
        <f t="shared" si="99"/>
        <v>0</v>
      </c>
      <c r="Q21" s="12">
        <f t="shared" si="100"/>
        <v>0</v>
      </c>
      <c r="R21" s="18">
        <f t="shared" si="101"/>
        <v>0</v>
      </c>
      <c r="S21" s="114">
        <v>27.6</v>
      </c>
      <c r="V21" s="4" t="str">
        <f t="shared" si="102"/>
        <v/>
      </c>
      <c r="X21" s="4">
        <f t="shared" si="103"/>
        <v>0</v>
      </c>
      <c r="Y21" s="20">
        <f t="shared" si="104"/>
        <v>0</v>
      </c>
      <c r="AA21" s="4">
        <f t="shared" si="105"/>
        <v>0</v>
      </c>
      <c r="AB21" s="4">
        <f t="shared" si="106"/>
        <v>0</v>
      </c>
      <c r="AD21" s="4">
        <f t="shared" si="107"/>
        <v>0</v>
      </c>
      <c r="AE21" s="4">
        <f t="shared" si="108"/>
        <v>0</v>
      </c>
      <c r="AG21" s="4">
        <f t="shared" si="109"/>
        <v>0</v>
      </c>
      <c r="AH21" s="4">
        <f t="shared" si="110"/>
        <v>0</v>
      </c>
      <c r="AI21" s="109"/>
      <c r="AJ21" s="4">
        <f t="shared" si="111"/>
        <v>0</v>
      </c>
      <c r="AK21" s="4">
        <f t="shared" si="112"/>
        <v>0</v>
      </c>
      <c r="AM21" s="4">
        <f t="shared" si="113"/>
        <v>0</v>
      </c>
      <c r="AN21" s="4">
        <f t="shared" si="114"/>
        <v>0</v>
      </c>
      <c r="AP21" s="4">
        <f t="shared" si="115"/>
        <v>0</v>
      </c>
      <c r="AQ21" s="4">
        <f t="shared" si="116"/>
        <v>0</v>
      </c>
      <c r="AS21" s="4">
        <f t="shared" si="117"/>
        <v>0</v>
      </c>
      <c r="AT21" s="4">
        <f t="shared" si="118"/>
        <v>0</v>
      </c>
      <c r="AV21" s="4">
        <f t="shared" si="119"/>
        <v>0</v>
      </c>
      <c r="AW21" s="4">
        <f t="shared" si="120"/>
        <v>0</v>
      </c>
      <c r="BA21" s="4">
        <f t="shared" si="121"/>
        <v>0</v>
      </c>
      <c r="BB21" s="4">
        <f t="shared" si="122"/>
        <v>0</v>
      </c>
      <c r="BF21" s="4">
        <f t="shared" si="123"/>
        <v>0</v>
      </c>
      <c r="BG21" s="4">
        <f t="shared" si="124"/>
        <v>0</v>
      </c>
      <c r="BI21" s="4">
        <f t="shared" si="125"/>
        <v>0</v>
      </c>
      <c r="BJ21" s="4">
        <f t="shared" si="126"/>
        <v>0</v>
      </c>
      <c r="BK21" s="111"/>
      <c r="BM21" s="4" t="str">
        <f>IF(ISNUMBER(BL21),_xlfn.XLOOKUP(A21,Unit_Codes[Unit Codes],Unit_Codes[CWS Hrs. Per Student],0),"")</f>
        <v/>
      </c>
      <c r="BN21" s="4">
        <f t="shared" si="127"/>
        <v>0</v>
      </c>
      <c r="BO21" s="20">
        <f t="shared" si="128"/>
        <v>0</v>
      </c>
      <c r="BQ21" s="20">
        <f t="shared" si="129"/>
        <v>0</v>
      </c>
    </row>
    <row r="22" spans="1:69" x14ac:dyDescent="0.25">
      <c r="A22" s="105" t="s">
        <v>176</v>
      </c>
      <c r="B22" s="105" t="s">
        <v>221</v>
      </c>
      <c r="C22" s="105" t="s">
        <v>838</v>
      </c>
      <c r="D22">
        <f>_xlfn.XLOOKUP(A22,Unit_Codes[Unit Codes],Unit_Codes[Enrolment '# (29.04.24)],"",0)</f>
        <v>22</v>
      </c>
      <c r="E22" t="str">
        <f t="shared" ref="E22:E31" si="130">IF(T22="Yes",C22,"")</f>
        <v/>
      </c>
      <c r="F22" t="str">
        <f t="shared" ref="F22:F31" si="131">A22&amp;C22</f>
        <v>PHYS4010Dummy, 13, 00000013</v>
      </c>
      <c r="G22">
        <f>COUNTIF($F$3:F22,F22)</f>
        <v>1</v>
      </c>
      <c r="H22" s="52" t="str">
        <f t="shared" ref="H22:H31" si="132">A22&amp;C22&amp;G22</f>
        <v>PHYS4010Dummy, 13, 000000131</v>
      </c>
      <c r="I22" s="5">
        <f t="shared" ref="I22:I31" si="133">SUM(K22,M22,O22,Q22,S22)</f>
        <v>276</v>
      </c>
      <c r="J22" s="5">
        <f t="shared" ref="J22:J31" si="134">I22/17.25</f>
        <v>16</v>
      </c>
      <c r="K22" s="10">
        <f t="shared" ref="K22:K31" si="135">X22</f>
        <v>0</v>
      </c>
      <c r="L22" s="10">
        <f t="shared" ref="L22:L31" si="136">K22/17.25</f>
        <v>0</v>
      </c>
      <c r="M22" s="14">
        <f t="shared" ref="M22:M31" si="137">SUM(AA22,AD22,AG22,AJ22,AM22,AP22,AS22,AV22,BA22,BF22,BI22)</f>
        <v>0</v>
      </c>
      <c r="N22" s="14">
        <f t="shared" ref="N22:N31" si="138">M22/17.25</f>
        <v>0</v>
      </c>
      <c r="O22" s="16">
        <f t="shared" ref="O22:O31" si="139">BN22</f>
        <v>0</v>
      </c>
      <c r="P22" s="16">
        <f t="shared" ref="P22:P31" si="140">O22/17.25</f>
        <v>0</v>
      </c>
      <c r="Q22" s="12">
        <f t="shared" ref="Q22:Q31" si="141">BP22</f>
        <v>0</v>
      </c>
      <c r="R22" s="18">
        <f t="shared" ref="R22:R31" si="142">BQ22</f>
        <v>0</v>
      </c>
      <c r="S22" s="114">
        <v>276</v>
      </c>
      <c r="V22" s="4" t="str">
        <f t="shared" ref="V22:V31" si="143">IF(AND(T22="Yes",U22&gt;0),(((ROUNDUP(((35+(U22*0.8625))/17.25),1)))),"")</f>
        <v/>
      </c>
      <c r="X22" s="4">
        <f t="shared" ref="X22:X31" si="144">IFERROR(Y22*17.25,0)</f>
        <v>0</v>
      </c>
      <c r="Y22" s="20">
        <f t="shared" ref="Y22:Y31" si="145">IFERROR(V22*W22,0)</f>
        <v>0</v>
      </c>
      <c r="AA22" s="4">
        <f t="shared" ref="AA22:AA31" si="146">Z22*2</f>
        <v>0</v>
      </c>
      <c r="AB22" s="4">
        <f t="shared" ref="AB22:AB31" si="147">AA22/17.25</f>
        <v>0</v>
      </c>
      <c r="AD22" s="4">
        <f t="shared" ref="AD22:AD31" si="148">AC22*3</f>
        <v>0</v>
      </c>
      <c r="AE22" s="4">
        <f t="shared" ref="AE22:AE31" si="149">AD22/17.25</f>
        <v>0</v>
      </c>
      <c r="AG22" s="4">
        <f t="shared" ref="AG22:AG31" si="150">AF22*4</f>
        <v>0</v>
      </c>
      <c r="AH22" s="4">
        <f t="shared" ref="AH22:AH31" si="151">AG22/17.25</f>
        <v>0</v>
      </c>
      <c r="AI22" s="109"/>
      <c r="AJ22" s="4">
        <f t="shared" ref="AJ22:AJ31" si="152">AI22*3</f>
        <v>0</v>
      </c>
      <c r="AK22" s="4">
        <f t="shared" ref="AK22:AK31" si="153">AJ22/17.25</f>
        <v>0</v>
      </c>
      <c r="AM22" s="4">
        <f t="shared" ref="AM22:AM31" si="154">AL22*2</f>
        <v>0</v>
      </c>
      <c r="AN22" s="4">
        <f t="shared" ref="AN22:AN31" si="155">AM22/17.25</f>
        <v>0</v>
      </c>
      <c r="AP22" s="4">
        <f t="shared" ref="AP22:AP31" si="156">AO22</f>
        <v>0</v>
      </c>
      <c r="AQ22" s="4">
        <f t="shared" ref="AQ22:AQ31" si="157">AP22/17.25</f>
        <v>0</v>
      </c>
      <c r="AS22" s="4">
        <f t="shared" ref="AS22:AS31" si="158">AR22</f>
        <v>0</v>
      </c>
      <c r="AT22" s="4">
        <f t="shared" ref="AT22:AT31" si="159">AS22/17.25</f>
        <v>0</v>
      </c>
      <c r="AV22" s="4">
        <f t="shared" ref="AV22:AV31" si="160">AU22</f>
        <v>0</v>
      </c>
      <c r="AW22" s="4">
        <f t="shared" ref="AW22:AW31" si="161">AV22/17.25</f>
        <v>0</v>
      </c>
      <c r="BA22" s="4">
        <f t="shared" ref="BA22:BA31" si="162">AY22*(AZ22/60)</f>
        <v>0</v>
      </c>
      <c r="BB22" s="4">
        <f t="shared" ref="BB22:BB31" si="163">BA22/17.25</f>
        <v>0</v>
      </c>
      <c r="BF22" s="4">
        <f t="shared" ref="BF22:BF31" si="164">BD22*(BE22/60)</f>
        <v>0</v>
      </c>
      <c r="BG22" s="4">
        <f t="shared" ref="BG22:BG31" si="165">BF22/17.25</f>
        <v>0</v>
      </c>
      <c r="BI22" s="4">
        <f t="shared" ref="BI22:BI31" si="166">BH22</f>
        <v>0</v>
      </c>
      <c r="BJ22" s="4">
        <f t="shared" ref="BJ22:BJ31" si="167">BI22/17.25</f>
        <v>0</v>
      </c>
      <c r="BK22" s="111"/>
      <c r="BM22" s="4" t="str">
        <f>IF(ISNUMBER(BL22),_xlfn.XLOOKUP(A22,Unit_Codes[Unit Codes],Unit_Codes[CWS Hrs. Per Student],0),"")</f>
        <v/>
      </c>
      <c r="BN22" s="4">
        <f t="shared" ref="BN22:BN31" si="168">IFERROR(BL22*BM22,0)</f>
        <v>0</v>
      </c>
      <c r="BO22" s="20">
        <f t="shared" ref="BO22:BO31" si="169">BN22/17.25</f>
        <v>0</v>
      </c>
      <c r="BQ22" s="20">
        <f t="shared" ref="BQ22:BQ31" si="170">BP22/17.25</f>
        <v>0</v>
      </c>
    </row>
    <row r="23" spans="1:69" x14ac:dyDescent="0.25">
      <c r="A23" s="105" t="s">
        <v>172</v>
      </c>
      <c r="B23" s="105" t="s">
        <v>221</v>
      </c>
      <c r="C23" s="105" t="s">
        <v>836</v>
      </c>
      <c r="D23">
        <f>_xlfn.XLOOKUP(A23,Unit_Codes[Unit Codes],Unit_Codes[Enrolment '# (29.04.24)],"",0)</f>
        <v>12</v>
      </c>
      <c r="E23" t="str">
        <f t="shared" si="130"/>
        <v/>
      </c>
      <c r="F23" t="str">
        <f t="shared" si="131"/>
        <v>PHYS4020Dummy, 14, 00000014</v>
      </c>
      <c r="G23">
        <f>COUNTIF($F$3:F23,F23)</f>
        <v>1</v>
      </c>
      <c r="H23" s="52" t="str">
        <f t="shared" si="132"/>
        <v>PHYS4020Dummy, 14, 000000141</v>
      </c>
      <c r="I23" s="5">
        <f t="shared" si="133"/>
        <v>276</v>
      </c>
      <c r="J23" s="5">
        <f t="shared" si="134"/>
        <v>16</v>
      </c>
      <c r="K23" s="10">
        <f t="shared" si="135"/>
        <v>0</v>
      </c>
      <c r="L23" s="10">
        <f t="shared" si="136"/>
        <v>0</v>
      </c>
      <c r="M23" s="14">
        <f t="shared" si="137"/>
        <v>0</v>
      </c>
      <c r="N23" s="14">
        <f t="shared" si="138"/>
        <v>0</v>
      </c>
      <c r="O23" s="16">
        <f t="shared" si="139"/>
        <v>0</v>
      </c>
      <c r="P23" s="16">
        <f t="shared" si="140"/>
        <v>0</v>
      </c>
      <c r="Q23" s="12">
        <f t="shared" si="141"/>
        <v>0</v>
      </c>
      <c r="R23" s="18">
        <f t="shared" si="142"/>
        <v>0</v>
      </c>
      <c r="S23" s="114">
        <v>276</v>
      </c>
      <c r="V23" s="4" t="str">
        <f t="shared" si="143"/>
        <v/>
      </c>
      <c r="X23" s="4">
        <f t="shared" si="144"/>
        <v>0</v>
      </c>
      <c r="Y23" s="20">
        <f t="shared" si="145"/>
        <v>0</v>
      </c>
      <c r="AA23" s="4">
        <f t="shared" si="146"/>
        <v>0</v>
      </c>
      <c r="AB23" s="4">
        <f t="shared" si="147"/>
        <v>0</v>
      </c>
      <c r="AD23" s="4">
        <f t="shared" si="148"/>
        <v>0</v>
      </c>
      <c r="AE23" s="4">
        <f t="shared" si="149"/>
        <v>0</v>
      </c>
      <c r="AG23" s="4">
        <f t="shared" si="150"/>
        <v>0</v>
      </c>
      <c r="AH23" s="4">
        <f t="shared" si="151"/>
        <v>0</v>
      </c>
      <c r="AI23" s="109"/>
      <c r="AJ23" s="4">
        <f t="shared" si="152"/>
        <v>0</v>
      </c>
      <c r="AK23" s="4">
        <f t="shared" si="153"/>
        <v>0</v>
      </c>
      <c r="AM23" s="4">
        <f t="shared" si="154"/>
        <v>0</v>
      </c>
      <c r="AN23" s="4">
        <f t="shared" si="155"/>
        <v>0</v>
      </c>
      <c r="AP23" s="4">
        <f t="shared" si="156"/>
        <v>0</v>
      </c>
      <c r="AQ23" s="4">
        <f t="shared" si="157"/>
        <v>0</v>
      </c>
      <c r="AS23" s="4">
        <f t="shared" si="158"/>
        <v>0</v>
      </c>
      <c r="AT23" s="4">
        <f t="shared" si="159"/>
        <v>0</v>
      </c>
      <c r="AV23" s="4">
        <f t="shared" si="160"/>
        <v>0</v>
      </c>
      <c r="AW23" s="4">
        <f t="shared" si="161"/>
        <v>0</v>
      </c>
      <c r="BA23" s="4">
        <f t="shared" si="162"/>
        <v>0</v>
      </c>
      <c r="BB23" s="4">
        <f t="shared" si="163"/>
        <v>0</v>
      </c>
      <c r="BF23" s="4">
        <f t="shared" si="164"/>
        <v>0</v>
      </c>
      <c r="BG23" s="4">
        <f t="shared" si="165"/>
        <v>0</v>
      </c>
      <c r="BI23" s="4">
        <f t="shared" si="166"/>
        <v>0</v>
      </c>
      <c r="BJ23" s="4">
        <f t="shared" si="167"/>
        <v>0</v>
      </c>
      <c r="BK23" s="111"/>
      <c r="BM23" s="4" t="str">
        <f>IF(ISNUMBER(BL23),_xlfn.XLOOKUP(A23,Unit_Codes[Unit Codes],Unit_Codes[CWS Hrs. Per Student],0),"")</f>
        <v/>
      </c>
      <c r="BN23" s="4">
        <f t="shared" si="168"/>
        <v>0</v>
      </c>
      <c r="BO23" s="20">
        <f t="shared" si="169"/>
        <v>0</v>
      </c>
      <c r="BQ23" s="20">
        <f t="shared" si="170"/>
        <v>0</v>
      </c>
    </row>
    <row r="24" spans="1:69" s="151" customFormat="1" x14ac:dyDescent="0.25">
      <c r="A24" s="150" t="s">
        <v>174</v>
      </c>
      <c r="B24" s="150" t="s">
        <v>221</v>
      </c>
      <c r="C24" s="105" t="s">
        <v>837</v>
      </c>
      <c r="D24" s="151">
        <f>_xlfn.XLOOKUP(A24,Unit_Codes[Unit Codes],Unit_Codes[Enrolment '# (29.04.24)],"",0)</f>
        <v>13</v>
      </c>
      <c r="E24" s="151" t="str">
        <f t="shared" si="130"/>
        <v/>
      </c>
      <c r="F24" s="151" t="str">
        <f t="shared" si="131"/>
        <v>PHYS4021Dummy, 15, 00000015</v>
      </c>
      <c r="G24" s="151">
        <f>COUNTIF($F$3:F24,F24)</f>
        <v>1</v>
      </c>
      <c r="H24" s="158" t="str">
        <f t="shared" si="132"/>
        <v>PHYS4021Dummy, 15, 000000151</v>
      </c>
      <c r="I24" s="155">
        <f t="shared" si="133"/>
        <v>0</v>
      </c>
      <c r="J24" s="155">
        <f t="shared" si="134"/>
        <v>0</v>
      </c>
      <c r="K24" s="155">
        <f t="shared" si="135"/>
        <v>0</v>
      </c>
      <c r="L24" s="155">
        <f t="shared" si="136"/>
        <v>0</v>
      </c>
      <c r="M24" s="155">
        <f t="shared" si="137"/>
        <v>0</v>
      </c>
      <c r="N24" s="155">
        <f t="shared" si="138"/>
        <v>0</v>
      </c>
      <c r="O24" s="155">
        <f t="shared" si="139"/>
        <v>0</v>
      </c>
      <c r="P24" s="155">
        <f t="shared" si="140"/>
        <v>0</v>
      </c>
      <c r="Q24" s="155">
        <f t="shared" si="141"/>
        <v>0</v>
      </c>
      <c r="R24" s="156">
        <f t="shared" si="142"/>
        <v>0</v>
      </c>
      <c r="S24" s="154"/>
      <c r="T24" s="150"/>
      <c r="U24" s="150"/>
      <c r="V24" s="155" t="str">
        <f t="shared" si="143"/>
        <v/>
      </c>
      <c r="W24" s="150"/>
      <c r="X24" s="155">
        <f t="shared" si="144"/>
        <v>0</v>
      </c>
      <c r="Y24" s="156">
        <f t="shared" si="145"/>
        <v>0</v>
      </c>
      <c r="Z24" s="150"/>
      <c r="AA24" s="155">
        <f t="shared" si="146"/>
        <v>0</v>
      </c>
      <c r="AB24" s="155">
        <f t="shared" si="147"/>
        <v>0</v>
      </c>
      <c r="AC24" s="150"/>
      <c r="AD24" s="155">
        <f t="shared" si="148"/>
        <v>0</v>
      </c>
      <c r="AE24" s="155">
        <f t="shared" si="149"/>
        <v>0</v>
      </c>
      <c r="AF24" s="150"/>
      <c r="AG24" s="155">
        <f t="shared" si="150"/>
        <v>0</v>
      </c>
      <c r="AH24" s="155">
        <f t="shared" si="151"/>
        <v>0</v>
      </c>
      <c r="AI24" s="157"/>
      <c r="AJ24" s="155">
        <f t="shared" si="152"/>
        <v>0</v>
      </c>
      <c r="AK24" s="155">
        <f t="shared" si="153"/>
        <v>0</v>
      </c>
      <c r="AL24" s="150"/>
      <c r="AM24" s="155">
        <f t="shared" si="154"/>
        <v>0</v>
      </c>
      <c r="AN24" s="155">
        <f t="shared" si="155"/>
        <v>0</v>
      </c>
      <c r="AO24" s="150"/>
      <c r="AP24" s="155">
        <f t="shared" si="156"/>
        <v>0</v>
      </c>
      <c r="AQ24" s="155">
        <f t="shared" si="157"/>
        <v>0</v>
      </c>
      <c r="AR24" s="150"/>
      <c r="AS24" s="155">
        <f t="shared" si="158"/>
        <v>0</v>
      </c>
      <c r="AT24" s="155">
        <f t="shared" si="159"/>
        <v>0</v>
      </c>
      <c r="AU24" s="150"/>
      <c r="AV24" s="155">
        <f t="shared" si="160"/>
        <v>0</v>
      </c>
      <c r="AW24" s="155">
        <f t="shared" si="161"/>
        <v>0</v>
      </c>
      <c r="AX24" s="150"/>
      <c r="AY24" s="150"/>
      <c r="AZ24" s="150"/>
      <c r="BA24" s="155">
        <f t="shared" si="162"/>
        <v>0</v>
      </c>
      <c r="BB24" s="155">
        <f t="shared" si="163"/>
        <v>0</v>
      </c>
      <c r="BC24" s="150"/>
      <c r="BD24" s="150"/>
      <c r="BE24" s="150"/>
      <c r="BF24" s="155">
        <f t="shared" si="164"/>
        <v>0</v>
      </c>
      <c r="BG24" s="155">
        <f t="shared" si="165"/>
        <v>0</v>
      </c>
      <c r="BH24" s="150"/>
      <c r="BI24" s="155">
        <f t="shared" si="166"/>
        <v>0</v>
      </c>
      <c r="BJ24" s="155">
        <f t="shared" si="167"/>
        <v>0</v>
      </c>
      <c r="BK24" s="153"/>
      <c r="BL24" s="150"/>
      <c r="BM24" s="4" t="str">
        <f>IF(ISNUMBER(BL24),_xlfn.XLOOKUP(A24,Unit_Codes[Unit Codes],Unit_Codes[CWS Hrs. Per Student],0),"")</f>
        <v/>
      </c>
      <c r="BN24" s="4">
        <f t="shared" si="168"/>
        <v>0</v>
      </c>
      <c r="BO24" s="156">
        <f t="shared" si="169"/>
        <v>0</v>
      </c>
      <c r="BP24" s="150"/>
      <c r="BQ24" s="156">
        <f t="shared" si="170"/>
        <v>0</v>
      </c>
    </row>
    <row r="25" spans="1:69" x14ac:dyDescent="0.25">
      <c r="A25" s="105" t="s">
        <v>47</v>
      </c>
      <c r="B25" s="105" t="s">
        <v>221</v>
      </c>
      <c r="C25" s="105" t="s">
        <v>834</v>
      </c>
      <c r="D25">
        <f>_xlfn.XLOOKUP(A25,Unit_Codes[Unit Codes],Unit_Codes[Enrolment '# (29.04.24)],"",0)</f>
        <v>11</v>
      </c>
      <c r="E25" t="str">
        <f t="shared" si="130"/>
        <v/>
      </c>
      <c r="F25" t="str">
        <f t="shared" si="131"/>
        <v>PHYS4022Dummy, 16, 00000016</v>
      </c>
      <c r="G25">
        <f>COUNTIF($F$3:F25,F25)</f>
        <v>1</v>
      </c>
      <c r="H25" s="52" t="str">
        <f t="shared" si="132"/>
        <v>PHYS4022Dummy, 16, 000000161</v>
      </c>
      <c r="I25" s="5">
        <f t="shared" si="133"/>
        <v>152</v>
      </c>
      <c r="J25" s="5">
        <f t="shared" si="134"/>
        <v>8.8115942028985508</v>
      </c>
      <c r="K25" s="10">
        <f t="shared" si="135"/>
        <v>0</v>
      </c>
      <c r="L25" s="10">
        <f t="shared" si="136"/>
        <v>0</v>
      </c>
      <c r="M25" s="14">
        <f t="shared" si="137"/>
        <v>0</v>
      </c>
      <c r="N25" s="14">
        <f t="shared" si="138"/>
        <v>0</v>
      </c>
      <c r="O25" s="16">
        <f t="shared" si="139"/>
        <v>0</v>
      </c>
      <c r="P25" s="16">
        <f t="shared" si="140"/>
        <v>0</v>
      </c>
      <c r="Q25" s="12">
        <f t="shared" si="141"/>
        <v>0</v>
      </c>
      <c r="R25" s="18">
        <f t="shared" si="142"/>
        <v>0</v>
      </c>
      <c r="S25" s="114">
        <v>152</v>
      </c>
      <c r="V25" s="4" t="str">
        <f t="shared" si="143"/>
        <v/>
      </c>
      <c r="X25" s="4">
        <f t="shared" si="144"/>
        <v>0</v>
      </c>
      <c r="Y25" s="20">
        <f t="shared" si="145"/>
        <v>0</v>
      </c>
      <c r="AA25" s="4">
        <f t="shared" si="146"/>
        <v>0</v>
      </c>
      <c r="AB25" s="4">
        <f t="shared" si="147"/>
        <v>0</v>
      </c>
      <c r="AD25" s="4">
        <f t="shared" si="148"/>
        <v>0</v>
      </c>
      <c r="AE25" s="4">
        <f t="shared" si="149"/>
        <v>0</v>
      </c>
      <c r="AG25" s="4">
        <f t="shared" si="150"/>
        <v>0</v>
      </c>
      <c r="AH25" s="4">
        <f t="shared" si="151"/>
        <v>0</v>
      </c>
      <c r="AI25" s="109"/>
      <c r="AJ25" s="4">
        <f t="shared" si="152"/>
        <v>0</v>
      </c>
      <c r="AK25" s="4">
        <f t="shared" si="153"/>
        <v>0</v>
      </c>
      <c r="AM25" s="4">
        <f t="shared" si="154"/>
        <v>0</v>
      </c>
      <c r="AN25" s="4">
        <f t="shared" si="155"/>
        <v>0</v>
      </c>
      <c r="AP25" s="4">
        <f t="shared" si="156"/>
        <v>0</v>
      </c>
      <c r="AQ25" s="4">
        <f t="shared" si="157"/>
        <v>0</v>
      </c>
      <c r="AS25" s="4">
        <f t="shared" si="158"/>
        <v>0</v>
      </c>
      <c r="AT25" s="4">
        <f t="shared" si="159"/>
        <v>0</v>
      </c>
      <c r="AV25" s="4">
        <f t="shared" si="160"/>
        <v>0</v>
      </c>
      <c r="AW25" s="4">
        <f t="shared" si="161"/>
        <v>0</v>
      </c>
      <c r="BA25" s="4">
        <f t="shared" si="162"/>
        <v>0</v>
      </c>
      <c r="BB25" s="4">
        <f t="shared" si="163"/>
        <v>0</v>
      </c>
      <c r="BF25" s="4">
        <f t="shared" si="164"/>
        <v>0</v>
      </c>
      <c r="BG25" s="4">
        <f t="shared" si="165"/>
        <v>0</v>
      </c>
      <c r="BI25" s="4">
        <f t="shared" si="166"/>
        <v>0</v>
      </c>
      <c r="BJ25" s="4">
        <f t="shared" si="167"/>
        <v>0</v>
      </c>
      <c r="BK25" s="111"/>
      <c r="BM25" s="4" t="str">
        <f>IF(ISNUMBER(BL25),_xlfn.XLOOKUP(A25,Unit_Codes[Unit Codes],Unit_Codes[CWS Hrs. Per Student],0),"")</f>
        <v/>
      </c>
      <c r="BN25" s="4">
        <f t="shared" si="168"/>
        <v>0</v>
      </c>
      <c r="BO25" s="20">
        <f t="shared" si="169"/>
        <v>0</v>
      </c>
      <c r="BQ25" s="20">
        <f t="shared" si="170"/>
        <v>0</v>
      </c>
    </row>
    <row r="26" spans="1:69" x14ac:dyDescent="0.25">
      <c r="A26" s="105" t="s">
        <v>47</v>
      </c>
      <c r="B26" s="105" t="s">
        <v>221</v>
      </c>
      <c r="C26" s="105" t="s">
        <v>839</v>
      </c>
      <c r="D26">
        <f>_xlfn.XLOOKUP(A26,Unit_Codes[Unit Codes],Unit_Codes[Enrolment '# (29.04.24)],"",0)</f>
        <v>11</v>
      </c>
      <c r="E26" t="str">
        <f t="shared" si="130"/>
        <v/>
      </c>
      <c r="F26" t="str">
        <f t="shared" si="131"/>
        <v>PHYS4022Dummy, 17, 00000017</v>
      </c>
      <c r="G26">
        <f>COUNTIF($F$3:F26,F26)</f>
        <v>1</v>
      </c>
      <c r="H26" s="52" t="str">
        <f t="shared" si="132"/>
        <v>PHYS4022Dummy, 17, 000000171</v>
      </c>
      <c r="I26" s="5">
        <f t="shared" si="133"/>
        <v>124</v>
      </c>
      <c r="J26" s="5">
        <f t="shared" si="134"/>
        <v>7.1884057971014492</v>
      </c>
      <c r="K26" s="10">
        <f t="shared" si="135"/>
        <v>0</v>
      </c>
      <c r="L26" s="10">
        <f t="shared" si="136"/>
        <v>0</v>
      </c>
      <c r="M26" s="14">
        <f t="shared" si="137"/>
        <v>0</v>
      </c>
      <c r="N26" s="14">
        <f t="shared" si="138"/>
        <v>0</v>
      </c>
      <c r="O26" s="16">
        <f t="shared" si="139"/>
        <v>0</v>
      </c>
      <c r="P26" s="16">
        <f t="shared" si="140"/>
        <v>0</v>
      </c>
      <c r="Q26" s="12">
        <f t="shared" si="141"/>
        <v>0</v>
      </c>
      <c r="R26" s="18">
        <f t="shared" si="142"/>
        <v>0</v>
      </c>
      <c r="S26" s="114">
        <v>124</v>
      </c>
      <c r="V26" s="4" t="str">
        <f t="shared" si="143"/>
        <v/>
      </c>
      <c r="X26" s="4">
        <f t="shared" si="144"/>
        <v>0</v>
      </c>
      <c r="Y26" s="20">
        <f t="shared" si="145"/>
        <v>0</v>
      </c>
      <c r="AA26" s="4">
        <f t="shared" si="146"/>
        <v>0</v>
      </c>
      <c r="AB26" s="4">
        <f t="shared" si="147"/>
        <v>0</v>
      </c>
      <c r="AD26" s="4">
        <f t="shared" si="148"/>
        <v>0</v>
      </c>
      <c r="AE26" s="4">
        <f t="shared" si="149"/>
        <v>0</v>
      </c>
      <c r="AG26" s="4">
        <f t="shared" si="150"/>
        <v>0</v>
      </c>
      <c r="AH26" s="4">
        <f t="shared" si="151"/>
        <v>0</v>
      </c>
      <c r="AI26" s="109"/>
      <c r="AJ26" s="4">
        <f t="shared" si="152"/>
        <v>0</v>
      </c>
      <c r="AK26" s="4">
        <f t="shared" si="153"/>
        <v>0</v>
      </c>
      <c r="AM26" s="4">
        <f t="shared" si="154"/>
        <v>0</v>
      </c>
      <c r="AN26" s="4">
        <f t="shared" si="155"/>
        <v>0</v>
      </c>
      <c r="AP26" s="4">
        <f t="shared" si="156"/>
        <v>0</v>
      </c>
      <c r="AQ26" s="4">
        <f t="shared" si="157"/>
        <v>0</v>
      </c>
      <c r="AS26" s="4">
        <f t="shared" si="158"/>
        <v>0</v>
      </c>
      <c r="AT26" s="4">
        <f t="shared" si="159"/>
        <v>0</v>
      </c>
      <c r="AV26" s="4">
        <f t="shared" si="160"/>
        <v>0</v>
      </c>
      <c r="AW26" s="4">
        <f t="shared" si="161"/>
        <v>0</v>
      </c>
      <c r="BA26" s="4">
        <f t="shared" si="162"/>
        <v>0</v>
      </c>
      <c r="BB26" s="4">
        <f t="shared" si="163"/>
        <v>0</v>
      </c>
      <c r="BF26" s="4">
        <f t="shared" si="164"/>
        <v>0</v>
      </c>
      <c r="BG26" s="4">
        <f t="shared" si="165"/>
        <v>0</v>
      </c>
      <c r="BI26" s="4">
        <f t="shared" si="166"/>
        <v>0</v>
      </c>
      <c r="BJ26" s="4">
        <f t="shared" si="167"/>
        <v>0</v>
      </c>
      <c r="BK26" s="111"/>
      <c r="BM26" s="4" t="str">
        <f>IF(ISNUMBER(BL26),_xlfn.XLOOKUP(A26,Unit_Codes[Unit Codes],Unit_Codes[CWS Hrs. Per Student],0),"")</f>
        <v/>
      </c>
      <c r="BN26" s="4">
        <f t="shared" si="168"/>
        <v>0</v>
      </c>
      <c r="BO26" s="20">
        <f t="shared" si="169"/>
        <v>0</v>
      </c>
      <c r="BQ26" s="20">
        <f t="shared" si="170"/>
        <v>0</v>
      </c>
    </row>
    <row r="27" spans="1:69" x14ac:dyDescent="0.25">
      <c r="A27" s="105" t="s">
        <v>170</v>
      </c>
      <c r="B27" s="105" t="s">
        <v>221</v>
      </c>
      <c r="C27" s="105" t="s">
        <v>833</v>
      </c>
      <c r="D27">
        <f>_xlfn.XLOOKUP(A27,Unit_Codes[Unit Codes],Unit_Codes[Enrolment '# (29.04.24)],"",0)</f>
        <v>13</v>
      </c>
      <c r="E27" t="str">
        <f t="shared" si="130"/>
        <v/>
      </c>
      <c r="F27" t="str">
        <f t="shared" si="131"/>
        <v>PHYS4415Dummy, 18, 00000018</v>
      </c>
      <c r="G27">
        <f>COUNTIF($F$3:F27,F27)</f>
        <v>1</v>
      </c>
      <c r="H27" s="52" t="str">
        <f t="shared" si="132"/>
        <v>PHYS4415Dummy, 18, 000000181</v>
      </c>
      <c r="I27" s="5">
        <f t="shared" si="133"/>
        <v>276</v>
      </c>
      <c r="J27" s="5">
        <f t="shared" si="134"/>
        <v>16</v>
      </c>
      <c r="K27" s="10">
        <f t="shared" si="135"/>
        <v>0</v>
      </c>
      <c r="L27" s="10">
        <f t="shared" si="136"/>
        <v>0</v>
      </c>
      <c r="M27" s="14">
        <f t="shared" si="137"/>
        <v>0</v>
      </c>
      <c r="N27" s="14">
        <f t="shared" si="138"/>
        <v>0</v>
      </c>
      <c r="O27" s="16">
        <f t="shared" si="139"/>
        <v>0</v>
      </c>
      <c r="P27" s="16">
        <f t="shared" si="140"/>
        <v>0</v>
      </c>
      <c r="Q27" s="12">
        <f t="shared" si="141"/>
        <v>0</v>
      </c>
      <c r="R27" s="18">
        <f t="shared" si="142"/>
        <v>0</v>
      </c>
      <c r="S27" s="114">
        <v>276</v>
      </c>
      <c r="V27" s="4" t="str">
        <f t="shared" si="143"/>
        <v/>
      </c>
      <c r="X27" s="4">
        <f t="shared" si="144"/>
        <v>0</v>
      </c>
      <c r="Y27" s="20">
        <f t="shared" si="145"/>
        <v>0</v>
      </c>
      <c r="AA27" s="4">
        <f t="shared" si="146"/>
        <v>0</v>
      </c>
      <c r="AB27" s="4">
        <f t="shared" si="147"/>
        <v>0</v>
      </c>
      <c r="AD27" s="4">
        <f t="shared" si="148"/>
        <v>0</v>
      </c>
      <c r="AE27" s="4">
        <f t="shared" si="149"/>
        <v>0</v>
      </c>
      <c r="AG27" s="4">
        <f t="shared" si="150"/>
        <v>0</v>
      </c>
      <c r="AH27" s="4">
        <f t="shared" si="151"/>
        <v>0</v>
      </c>
      <c r="AI27" s="109"/>
      <c r="AJ27" s="4">
        <f t="shared" si="152"/>
        <v>0</v>
      </c>
      <c r="AK27" s="4">
        <f t="shared" si="153"/>
        <v>0</v>
      </c>
      <c r="AM27" s="4">
        <f t="shared" si="154"/>
        <v>0</v>
      </c>
      <c r="AN27" s="4">
        <f t="shared" si="155"/>
        <v>0</v>
      </c>
      <c r="AP27" s="4">
        <f t="shared" si="156"/>
        <v>0</v>
      </c>
      <c r="AQ27" s="4">
        <f t="shared" si="157"/>
        <v>0</v>
      </c>
      <c r="AS27" s="4">
        <f t="shared" si="158"/>
        <v>0</v>
      </c>
      <c r="AT27" s="4">
        <f t="shared" si="159"/>
        <v>0</v>
      </c>
      <c r="AV27" s="4">
        <f t="shared" si="160"/>
        <v>0</v>
      </c>
      <c r="AW27" s="4">
        <f t="shared" si="161"/>
        <v>0</v>
      </c>
      <c r="BA27" s="4">
        <f t="shared" si="162"/>
        <v>0</v>
      </c>
      <c r="BB27" s="4">
        <f t="shared" si="163"/>
        <v>0</v>
      </c>
      <c r="BF27" s="4">
        <f t="shared" si="164"/>
        <v>0</v>
      </c>
      <c r="BG27" s="4">
        <f t="shared" si="165"/>
        <v>0</v>
      </c>
      <c r="BI27" s="4">
        <f t="shared" si="166"/>
        <v>0</v>
      </c>
      <c r="BJ27" s="4">
        <f t="shared" si="167"/>
        <v>0</v>
      </c>
      <c r="BK27" s="111"/>
      <c r="BM27" s="4" t="str">
        <f>IF(ISNUMBER(BL27),_xlfn.XLOOKUP(A27,Unit_Codes[Unit Codes],Unit_Codes[CWS Hrs. Per Student],0),"")</f>
        <v/>
      </c>
      <c r="BN27" s="4">
        <f t="shared" si="168"/>
        <v>0</v>
      </c>
      <c r="BO27" s="20">
        <f t="shared" si="169"/>
        <v>0</v>
      </c>
      <c r="BQ27" s="20">
        <f t="shared" si="170"/>
        <v>0</v>
      </c>
    </row>
    <row r="28" spans="1:69" x14ac:dyDescent="0.25">
      <c r="A28" t="s">
        <v>31</v>
      </c>
      <c r="B28" t="s">
        <v>221</v>
      </c>
      <c r="C28" t="s">
        <v>824</v>
      </c>
      <c r="D28">
        <f>_xlfn.XLOOKUP(A28,Unit_Codes[Unit Codes],Unit_Codes[Enrolment '# (29.04.24)],"",0)</f>
        <v>47</v>
      </c>
      <c r="E28" t="str">
        <f t="shared" si="130"/>
        <v/>
      </c>
      <c r="F28" t="str">
        <f t="shared" si="131"/>
        <v>CITS4010Dummy, 01, 00000001</v>
      </c>
      <c r="G28">
        <f>COUNTIF($F$3:F28,F28)</f>
        <v>1</v>
      </c>
      <c r="H28" s="52" t="str">
        <f t="shared" si="132"/>
        <v>CITS4010Dummy, 01, 000000011</v>
      </c>
      <c r="I28" s="66">
        <f t="shared" si="133"/>
        <v>21.5</v>
      </c>
      <c r="J28" s="66">
        <f t="shared" si="134"/>
        <v>1.2463768115942029</v>
      </c>
      <c r="K28" s="66">
        <f t="shared" si="135"/>
        <v>0</v>
      </c>
      <c r="L28" s="66">
        <f t="shared" si="136"/>
        <v>0</v>
      </c>
      <c r="M28" s="66">
        <f t="shared" si="137"/>
        <v>0</v>
      </c>
      <c r="N28" s="66">
        <f t="shared" si="138"/>
        <v>0</v>
      </c>
      <c r="O28" s="66">
        <f t="shared" si="139"/>
        <v>21.5</v>
      </c>
      <c r="P28" s="66">
        <f t="shared" si="140"/>
        <v>1.2463768115942029</v>
      </c>
      <c r="Q28" s="66">
        <f t="shared" si="141"/>
        <v>0</v>
      </c>
      <c r="R28" s="148">
        <f t="shared" si="142"/>
        <v>0</v>
      </c>
      <c r="S28" s="114"/>
      <c r="V28" s="66" t="str">
        <f t="shared" si="143"/>
        <v/>
      </c>
      <c r="X28" s="66">
        <f t="shared" si="144"/>
        <v>0</v>
      </c>
      <c r="Y28" s="148">
        <f t="shared" si="145"/>
        <v>0</v>
      </c>
      <c r="AA28" s="66">
        <f t="shared" si="146"/>
        <v>0</v>
      </c>
      <c r="AB28" s="66">
        <f t="shared" si="147"/>
        <v>0</v>
      </c>
      <c r="AD28" s="66">
        <f t="shared" si="148"/>
        <v>0</v>
      </c>
      <c r="AE28" s="66">
        <f t="shared" si="149"/>
        <v>0</v>
      </c>
      <c r="AG28" s="66">
        <f t="shared" si="150"/>
        <v>0</v>
      </c>
      <c r="AH28" s="66">
        <f t="shared" si="151"/>
        <v>0</v>
      </c>
      <c r="AI28" s="109"/>
      <c r="AJ28" s="66">
        <f t="shared" si="152"/>
        <v>0</v>
      </c>
      <c r="AK28" s="66">
        <f t="shared" si="153"/>
        <v>0</v>
      </c>
      <c r="AM28" s="66">
        <f t="shared" si="154"/>
        <v>0</v>
      </c>
      <c r="AN28" s="66">
        <f t="shared" si="155"/>
        <v>0</v>
      </c>
      <c r="AP28" s="66">
        <f t="shared" si="156"/>
        <v>0</v>
      </c>
      <c r="AQ28" s="66">
        <f t="shared" si="157"/>
        <v>0</v>
      </c>
      <c r="AS28" s="66">
        <f t="shared" si="158"/>
        <v>0</v>
      </c>
      <c r="AT28" s="66">
        <f t="shared" si="159"/>
        <v>0</v>
      </c>
      <c r="AV28" s="66">
        <f t="shared" si="160"/>
        <v>0</v>
      </c>
      <c r="AW28" s="66">
        <f t="shared" si="161"/>
        <v>0</v>
      </c>
      <c r="BA28" s="66">
        <f t="shared" si="162"/>
        <v>0</v>
      </c>
      <c r="BB28" s="66">
        <f t="shared" si="163"/>
        <v>0</v>
      </c>
      <c r="BF28" s="66">
        <f t="shared" si="164"/>
        <v>0</v>
      </c>
      <c r="BG28" s="66">
        <f t="shared" si="165"/>
        <v>0</v>
      </c>
      <c r="BI28" s="66">
        <f t="shared" si="166"/>
        <v>0</v>
      </c>
      <c r="BJ28" s="66">
        <f t="shared" si="167"/>
        <v>0</v>
      </c>
      <c r="BK28">
        <v>2</v>
      </c>
      <c r="BL28">
        <v>1</v>
      </c>
      <c r="BM28" s="66">
        <f>IF(ISNUMBER(BL28),_xlfn.XLOOKUP(A28,Unit_Codes[Unit Codes],Unit_Codes[CWS Hrs. Per Student],0),"")</f>
        <v>21.5</v>
      </c>
      <c r="BN28" s="66">
        <f t="shared" si="168"/>
        <v>21.5</v>
      </c>
      <c r="BO28" s="148">
        <f t="shared" si="169"/>
        <v>1.2463768115942029</v>
      </c>
      <c r="BQ28" s="148">
        <f t="shared" si="170"/>
        <v>0</v>
      </c>
    </row>
    <row r="29" spans="1:69" x14ac:dyDescent="0.25">
      <c r="A29" t="s">
        <v>32</v>
      </c>
      <c r="B29" t="s">
        <v>221</v>
      </c>
      <c r="C29" t="s">
        <v>827</v>
      </c>
      <c r="D29">
        <f>_xlfn.XLOOKUP(A29,Unit_Codes[Unit Codes],Unit_Codes[Enrolment '# (29.04.24)],"",0)</f>
        <v>45</v>
      </c>
      <c r="E29" t="str">
        <f t="shared" si="130"/>
        <v/>
      </c>
      <c r="F29" t="str">
        <f t="shared" si="131"/>
        <v>CITS4011Dummy, 07, 00000007</v>
      </c>
      <c r="G29">
        <f>COUNTIF($F$3:F29,F29)</f>
        <v>1</v>
      </c>
      <c r="H29" s="52" t="str">
        <f t="shared" si="132"/>
        <v>CITS4011Dummy, 07, 000000071</v>
      </c>
      <c r="I29" s="5">
        <f t="shared" si="133"/>
        <v>53.75</v>
      </c>
      <c r="J29" s="5">
        <f t="shared" si="134"/>
        <v>3.1159420289855073</v>
      </c>
      <c r="K29" s="10">
        <f t="shared" si="135"/>
        <v>0</v>
      </c>
      <c r="L29" s="10">
        <f t="shared" si="136"/>
        <v>0</v>
      </c>
      <c r="M29" s="14">
        <f t="shared" si="137"/>
        <v>0</v>
      </c>
      <c r="N29" s="14">
        <f t="shared" si="138"/>
        <v>0</v>
      </c>
      <c r="O29" s="16">
        <f t="shared" si="139"/>
        <v>53.75</v>
      </c>
      <c r="P29" s="16">
        <f t="shared" si="140"/>
        <v>3.1159420289855073</v>
      </c>
      <c r="Q29" s="12">
        <f t="shared" si="141"/>
        <v>0</v>
      </c>
      <c r="R29" s="18">
        <f t="shared" si="142"/>
        <v>0</v>
      </c>
      <c r="S29" s="114"/>
      <c r="V29" s="4" t="str">
        <f t="shared" si="143"/>
        <v/>
      </c>
      <c r="X29" s="4">
        <f t="shared" si="144"/>
        <v>0</v>
      </c>
      <c r="Y29" s="20">
        <f t="shared" si="145"/>
        <v>0</v>
      </c>
      <c r="AA29" s="4">
        <f t="shared" si="146"/>
        <v>0</v>
      </c>
      <c r="AB29" s="4">
        <f t="shared" si="147"/>
        <v>0</v>
      </c>
      <c r="AD29" s="4">
        <f t="shared" si="148"/>
        <v>0</v>
      </c>
      <c r="AE29" s="4">
        <f t="shared" si="149"/>
        <v>0</v>
      </c>
      <c r="AG29" s="4">
        <f t="shared" si="150"/>
        <v>0</v>
      </c>
      <c r="AH29" s="4">
        <f t="shared" si="151"/>
        <v>0</v>
      </c>
      <c r="AI29" s="109"/>
      <c r="AJ29" s="4">
        <f t="shared" si="152"/>
        <v>0</v>
      </c>
      <c r="AK29" s="4">
        <f t="shared" si="153"/>
        <v>0</v>
      </c>
      <c r="AM29" s="4">
        <f t="shared" si="154"/>
        <v>0</v>
      </c>
      <c r="AN29" s="4">
        <f t="shared" si="155"/>
        <v>0</v>
      </c>
      <c r="AP29" s="4">
        <f t="shared" si="156"/>
        <v>0</v>
      </c>
      <c r="AQ29" s="4">
        <f t="shared" si="157"/>
        <v>0</v>
      </c>
      <c r="AS29" s="4">
        <f t="shared" si="158"/>
        <v>0</v>
      </c>
      <c r="AT29" s="4">
        <f t="shared" si="159"/>
        <v>0</v>
      </c>
      <c r="AV29" s="4">
        <f t="shared" si="160"/>
        <v>0</v>
      </c>
      <c r="AW29" s="4">
        <f t="shared" si="161"/>
        <v>0</v>
      </c>
      <c r="BA29" s="4">
        <f t="shared" si="162"/>
        <v>0</v>
      </c>
      <c r="BB29" s="4">
        <f t="shared" si="163"/>
        <v>0</v>
      </c>
      <c r="BF29" s="4">
        <f t="shared" si="164"/>
        <v>0</v>
      </c>
      <c r="BG29" s="4">
        <f t="shared" si="165"/>
        <v>0</v>
      </c>
      <c r="BI29" s="4">
        <f t="shared" si="166"/>
        <v>0</v>
      </c>
      <c r="BJ29" s="4">
        <f t="shared" si="167"/>
        <v>0</v>
      </c>
      <c r="BK29">
        <v>4</v>
      </c>
      <c r="BL29">
        <v>2.5</v>
      </c>
      <c r="BM29" s="4">
        <f>IF(ISNUMBER(BL29),_xlfn.XLOOKUP(A29,Unit_Codes[Unit Codes],Unit_Codes[CWS Hrs. Per Student],0),"")</f>
        <v>21.5</v>
      </c>
      <c r="BN29" s="4">
        <f t="shared" si="168"/>
        <v>53.75</v>
      </c>
      <c r="BO29" s="20">
        <f t="shared" si="169"/>
        <v>3.1159420289855073</v>
      </c>
      <c r="BQ29" s="20">
        <f t="shared" si="170"/>
        <v>0</v>
      </c>
    </row>
    <row r="30" spans="1:69" x14ac:dyDescent="0.25">
      <c r="A30" t="s">
        <v>32</v>
      </c>
      <c r="B30" t="s">
        <v>221</v>
      </c>
      <c r="C30" t="s">
        <v>824</v>
      </c>
      <c r="D30">
        <f>_xlfn.XLOOKUP(A30,Unit_Codes[Unit Codes],Unit_Codes[Enrolment '# (29.04.24)],"",0)</f>
        <v>45</v>
      </c>
      <c r="E30" t="str">
        <f t="shared" si="130"/>
        <v/>
      </c>
      <c r="F30" t="str">
        <f t="shared" si="131"/>
        <v>CITS4011Dummy, 01, 00000001</v>
      </c>
      <c r="G30">
        <f>COUNTIF($F$3:F30,F30)</f>
        <v>1</v>
      </c>
      <c r="H30" s="52" t="str">
        <f t="shared" si="132"/>
        <v>CITS4011Dummy, 01, 000000011</v>
      </c>
      <c r="I30" s="5">
        <f t="shared" si="133"/>
        <v>64.5</v>
      </c>
      <c r="J30" s="5">
        <f t="shared" si="134"/>
        <v>3.7391304347826089</v>
      </c>
      <c r="K30" s="10">
        <f t="shared" si="135"/>
        <v>0</v>
      </c>
      <c r="L30" s="10">
        <f t="shared" si="136"/>
        <v>0</v>
      </c>
      <c r="M30" s="14">
        <f t="shared" si="137"/>
        <v>0</v>
      </c>
      <c r="N30" s="14">
        <f t="shared" si="138"/>
        <v>0</v>
      </c>
      <c r="O30" s="16">
        <f t="shared" si="139"/>
        <v>64.5</v>
      </c>
      <c r="P30" s="16">
        <f t="shared" si="140"/>
        <v>3.7391304347826089</v>
      </c>
      <c r="Q30" s="12">
        <f t="shared" si="141"/>
        <v>0</v>
      </c>
      <c r="R30" s="18">
        <f t="shared" si="142"/>
        <v>0</v>
      </c>
      <c r="S30" s="114"/>
      <c r="V30" s="4" t="str">
        <f t="shared" si="143"/>
        <v/>
      </c>
      <c r="X30" s="4">
        <f t="shared" si="144"/>
        <v>0</v>
      </c>
      <c r="Y30" s="20">
        <f t="shared" si="145"/>
        <v>0</v>
      </c>
      <c r="AA30" s="4">
        <f t="shared" si="146"/>
        <v>0</v>
      </c>
      <c r="AB30" s="4">
        <f t="shared" si="147"/>
        <v>0</v>
      </c>
      <c r="AD30" s="4">
        <f t="shared" si="148"/>
        <v>0</v>
      </c>
      <c r="AE30" s="4">
        <f t="shared" si="149"/>
        <v>0</v>
      </c>
      <c r="AG30" s="4">
        <f t="shared" si="150"/>
        <v>0</v>
      </c>
      <c r="AH30" s="4">
        <f t="shared" si="151"/>
        <v>0</v>
      </c>
      <c r="AI30" s="109"/>
      <c r="AJ30" s="4">
        <f t="shared" si="152"/>
        <v>0</v>
      </c>
      <c r="AK30" s="4">
        <f t="shared" si="153"/>
        <v>0</v>
      </c>
      <c r="AM30" s="4">
        <f t="shared" si="154"/>
        <v>0</v>
      </c>
      <c r="AN30" s="4">
        <f t="shared" si="155"/>
        <v>0</v>
      </c>
      <c r="AP30" s="4">
        <f t="shared" si="156"/>
        <v>0</v>
      </c>
      <c r="AQ30" s="4">
        <f t="shared" si="157"/>
        <v>0</v>
      </c>
      <c r="AS30" s="4">
        <f t="shared" si="158"/>
        <v>0</v>
      </c>
      <c r="AT30" s="4">
        <f t="shared" si="159"/>
        <v>0</v>
      </c>
      <c r="AV30" s="4">
        <f t="shared" si="160"/>
        <v>0</v>
      </c>
      <c r="AW30" s="4">
        <f t="shared" si="161"/>
        <v>0</v>
      </c>
      <c r="BA30" s="4">
        <f t="shared" si="162"/>
        <v>0</v>
      </c>
      <c r="BB30" s="4">
        <f t="shared" si="163"/>
        <v>0</v>
      </c>
      <c r="BF30" s="4">
        <f t="shared" si="164"/>
        <v>0</v>
      </c>
      <c r="BG30" s="4">
        <f t="shared" si="165"/>
        <v>0</v>
      </c>
      <c r="BI30" s="4">
        <f t="shared" si="166"/>
        <v>0</v>
      </c>
      <c r="BJ30" s="4">
        <f t="shared" si="167"/>
        <v>0</v>
      </c>
      <c r="BK30">
        <v>3</v>
      </c>
      <c r="BL30">
        <v>3</v>
      </c>
      <c r="BM30" s="4">
        <f>IF(ISNUMBER(BL30),_xlfn.XLOOKUP(A30,Unit_Codes[Unit Codes],Unit_Codes[CWS Hrs. Per Student],0),"")</f>
        <v>21.5</v>
      </c>
      <c r="BN30" s="4">
        <f t="shared" si="168"/>
        <v>64.5</v>
      </c>
      <c r="BO30" s="20">
        <f t="shared" si="169"/>
        <v>3.7391304347826089</v>
      </c>
      <c r="BQ30" s="20">
        <f t="shared" si="170"/>
        <v>0</v>
      </c>
    </row>
    <row r="31" spans="1:69" x14ac:dyDescent="0.25">
      <c r="A31" t="s">
        <v>32</v>
      </c>
      <c r="B31" t="s">
        <v>221</v>
      </c>
      <c r="C31" t="s">
        <v>825</v>
      </c>
      <c r="D31">
        <f>_xlfn.XLOOKUP(A31,Unit_Codes[Unit Codes],Unit_Codes[Enrolment '# (29.04.24)],"",0)</f>
        <v>45</v>
      </c>
      <c r="E31" t="str">
        <f t="shared" si="130"/>
        <v/>
      </c>
      <c r="F31" t="str">
        <f t="shared" si="131"/>
        <v>CITS4011Dummy, 04, 00000004</v>
      </c>
      <c r="G31">
        <f>COUNTIF($F$3:F31,F31)</f>
        <v>1</v>
      </c>
      <c r="H31" s="52" t="str">
        <f t="shared" si="132"/>
        <v>CITS4011Dummy, 04, 000000041</v>
      </c>
      <c r="I31" s="5">
        <f t="shared" si="133"/>
        <v>10.75</v>
      </c>
      <c r="J31" s="5">
        <f t="shared" si="134"/>
        <v>0.62318840579710144</v>
      </c>
      <c r="K31" s="10">
        <f t="shared" si="135"/>
        <v>0</v>
      </c>
      <c r="L31" s="10">
        <f t="shared" si="136"/>
        <v>0</v>
      </c>
      <c r="M31" s="14">
        <f t="shared" si="137"/>
        <v>0</v>
      </c>
      <c r="N31" s="14">
        <f t="shared" si="138"/>
        <v>0</v>
      </c>
      <c r="O31" s="16">
        <f t="shared" si="139"/>
        <v>10.75</v>
      </c>
      <c r="P31" s="16">
        <f t="shared" si="140"/>
        <v>0.62318840579710144</v>
      </c>
      <c r="Q31" s="12">
        <f t="shared" si="141"/>
        <v>0</v>
      </c>
      <c r="R31" s="18">
        <f t="shared" si="142"/>
        <v>0</v>
      </c>
      <c r="S31" s="114"/>
      <c r="V31" s="4" t="str">
        <f t="shared" si="143"/>
        <v/>
      </c>
      <c r="X31" s="4">
        <f t="shared" si="144"/>
        <v>0</v>
      </c>
      <c r="Y31" s="20">
        <f t="shared" si="145"/>
        <v>0</v>
      </c>
      <c r="AA31" s="4">
        <f t="shared" si="146"/>
        <v>0</v>
      </c>
      <c r="AB31" s="4">
        <f t="shared" si="147"/>
        <v>0</v>
      </c>
      <c r="AD31" s="4">
        <f t="shared" si="148"/>
        <v>0</v>
      </c>
      <c r="AE31" s="4">
        <f t="shared" si="149"/>
        <v>0</v>
      </c>
      <c r="AG31" s="4">
        <f t="shared" si="150"/>
        <v>0</v>
      </c>
      <c r="AH31" s="4">
        <f t="shared" si="151"/>
        <v>0</v>
      </c>
      <c r="AI31" s="109"/>
      <c r="AJ31" s="4">
        <f t="shared" si="152"/>
        <v>0</v>
      </c>
      <c r="AK31" s="4">
        <f t="shared" si="153"/>
        <v>0</v>
      </c>
      <c r="AM31" s="4">
        <f t="shared" si="154"/>
        <v>0</v>
      </c>
      <c r="AN31" s="4">
        <f t="shared" si="155"/>
        <v>0</v>
      </c>
      <c r="AP31" s="4">
        <f t="shared" si="156"/>
        <v>0</v>
      </c>
      <c r="AQ31" s="4">
        <f t="shared" si="157"/>
        <v>0</v>
      </c>
      <c r="AS31" s="4">
        <f t="shared" si="158"/>
        <v>0</v>
      </c>
      <c r="AT31" s="4">
        <f t="shared" si="159"/>
        <v>0</v>
      </c>
      <c r="AV31" s="4">
        <f t="shared" si="160"/>
        <v>0</v>
      </c>
      <c r="AW31" s="4">
        <f t="shared" si="161"/>
        <v>0</v>
      </c>
      <c r="BA31" s="4">
        <f t="shared" si="162"/>
        <v>0</v>
      </c>
      <c r="BB31" s="4">
        <f t="shared" si="163"/>
        <v>0</v>
      </c>
      <c r="BF31" s="4">
        <f t="shared" si="164"/>
        <v>0</v>
      </c>
      <c r="BG31" s="4">
        <f t="shared" si="165"/>
        <v>0</v>
      </c>
      <c r="BI31" s="4">
        <f t="shared" si="166"/>
        <v>0</v>
      </c>
      <c r="BJ31" s="4">
        <f t="shared" si="167"/>
        <v>0</v>
      </c>
      <c r="BK31">
        <v>1</v>
      </c>
      <c r="BL31">
        <v>0.5</v>
      </c>
      <c r="BM31" s="4">
        <f>IF(ISNUMBER(BL31),_xlfn.XLOOKUP(A31,Unit_Codes[Unit Codes],Unit_Codes[CWS Hrs. Per Student],0),"")</f>
        <v>21.5</v>
      </c>
      <c r="BN31" s="4">
        <f t="shared" si="168"/>
        <v>10.75</v>
      </c>
      <c r="BO31" s="20">
        <f t="shared" si="169"/>
        <v>0.62318840579710144</v>
      </c>
      <c r="BQ31" s="20">
        <f t="shared" si="170"/>
        <v>0</v>
      </c>
    </row>
    <row r="32" spans="1:69" x14ac:dyDescent="0.25">
      <c r="A32" t="s">
        <v>40</v>
      </c>
      <c r="B32" t="s">
        <v>221</v>
      </c>
      <c r="C32" t="s">
        <v>826</v>
      </c>
      <c r="D32">
        <f>_xlfn.XLOOKUP(A32,Unit_Codes[Unit Codes],Unit_Codes[Enrolment '# (29.04.24)],"",0)</f>
        <v>15</v>
      </c>
      <c r="E32" t="str">
        <f t="shared" ref="E32:E33" si="171">IF(T32="Yes",C32,"")</f>
        <v/>
      </c>
      <c r="F32" t="str">
        <f t="shared" ref="F32:F33" si="172">A32&amp;C32</f>
        <v>CITS5014Dummy, 06, 00000006</v>
      </c>
      <c r="G32">
        <f>COUNTIF($F$3:F32,F32)</f>
        <v>1</v>
      </c>
      <c r="H32" s="52" t="str">
        <f t="shared" ref="H32:H33" si="173">A32&amp;C32&amp;G32</f>
        <v>CITS5014Dummy, 06, 000000061</v>
      </c>
      <c r="I32" s="5">
        <f t="shared" ref="I32:I33" si="174">SUM(K32,M32,O32,Q32,S32)</f>
        <v>10.75</v>
      </c>
      <c r="J32" s="5">
        <f t="shared" ref="J32:J33" si="175">I32/17.25</f>
        <v>0.62318840579710144</v>
      </c>
      <c r="K32" s="10">
        <f t="shared" ref="K32:K33" si="176">X32</f>
        <v>0</v>
      </c>
      <c r="L32" s="10">
        <f t="shared" ref="L32:L33" si="177">K32/17.25</f>
        <v>0</v>
      </c>
      <c r="M32" s="14">
        <f t="shared" ref="M32:M33" si="178">SUM(AA32,AD32,AG32,AJ32,AM32,AP32,AS32,AV32,BA32,BF32,BI32)</f>
        <v>0</v>
      </c>
      <c r="N32" s="14">
        <f t="shared" ref="N32:N33" si="179">M32/17.25</f>
        <v>0</v>
      </c>
      <c r="O32" s="16">
        <f t="shared" ref="O32:O33" si="180">BN32</f>
        <v>10.75</v>
      </c>
      <c r="P32" s="16">
        <f t="shared" ref="P32:P33" si="181">O32/17.25</f>
        <v>0.62318840579710144</v>
      </c>
      <c r="Q32" s="12">
        <f t="shared" ref="Q32:Q33" si="182">BP32</f>
        <v>0</v>
      </c>
      <c r="R32" s="18">
        <f t="shared" ref="R32:R33" si="183">BQ32</f>
        <v>0</v>
      </c>
      <c r="S32" s="114"/>
      <c r="V32" s="4" t="str">
        <f t="shared" ref="V32:V33" si="184">IF(AND(T32="Yes",U32&gt;0),(((ROUNDUP(((35+(U32*0.8625))/17.25),1)))),"")</f>
        <v/>
      </c>
      <c r="X32" s="4">
        <f t="shared" ref="X32:X33" si="185">IFERROR(Y32*17.25,0)</f>
        <v>0</v>
      </c>
      <c r="Y32" s="20">
        <f t="shared" ref="Y32:Y33" si="186">IFERROR(V32*W32,0)</f>
        <v>0</v>
      </c>
      <c r="AA32" s="4">
        <f t="shared" ref="AA32:AA33" si="187">Z32*2</f>
        <v>0</v>
      </c>
      <c r="AB32" s="4">
        <f t="shared" ref="AB32:AB33" si="188">AA32/17.25</f>
        <v>0</v>
      </c>
      <c r="AD32" s="4">
        <f t="shared" ref="AD32:AD33" si="189">AC32*3</f>
        <v>0</v>
      </c>
      <c r="AE32" s="4">
        <f t="shared" ref="AE32:AE33" si="190">AD32/17.25</f>
        <v>0</v>
      </c>
      <c r="AG32" s="4">
        <f t="shared" ref="AG32:AG33" si="191">AF32*4</f>
        <v>0</v>
      </c>
      <c r="AH32" s="4">
        <f t="shared" ref="AH32:AH33" si="192">AG32/17.25</f>
        <v>0</v>
      </c>
      <c r="AI32" s="109"/>
      <c r="AJ32" s="4">
        <f t="shared" ref="AJ32:AJ33" si="193">AI32*3</f>
        <v>0</v>
      </c>
      <c r="AK32" s="4">
        <f t="shared" ref="AK32:AK33" si="194">AJ32/17.25</f>
        <v>0</v>
      </c>
      <c r="AM32" s="4">
        <f t="shared" ref="AM32:AM33" si="195">AL32*2</f>
        <v>0</v>
      </c>
      <c r="AN32" s="4">
        <f t="shared" ref="AN32:AN33" si="196">AM32/17.25</f>
        <v>0</v>
      </c>
      <c r="AP32" s="4">
        <f t="shared" ref="AP32:AP33" si="197">AO32</f>
        <v>0</v>
      </c>
      <c r="AQ32" s="4">
        <f t="shared" ref="AQ32:AQ33" si="198">AP32/17.25</f>
        <v>0</v>
      </c>
      <c r="AS32" s="4">
        <f t="shared" ref="AS32:AS33" si="199">AR32</f>
        <v>0</v>
      </c>
      <c r="AT32" s="4">
        <f t="shared" ref="AT32:AT33" si="200">AS32/17.25</f>
        <v>0</v>
      </c>
      <c r="AV32" s="4">
        <f t="shared" ref="AV32:AV33" si="201">AU32</f>
        <v>0</v>
      </c>
      <c r="AW32" s="4">
        <f t="shared" ref="AW32:AW33" si="202">AV32/17.25</f>
        <v>0</v>
      </c>
      <c r="BA32" s="4">
        <f t="shared" ref="BA32:BA33" si="203">AY32*(AZ32/60)</f>
        <v>0</v>
      </c>
      <c r="BB32" s="4">
        <f t="shared" ref="BB32:BB33" si="204">BA32/17.25</f>
        <v>0</v>
      </c>
      <c r="BF32" s="4">
        <f t="shared" ref="BF32:BF33" si="205">BD32*(BE32/60)</f>
        <v>0</v>
      </c>
      <c r="BG32" s="4">
        <f t="shared" ref="BG32:BG33" si="206">BF32/17.25</f>
        <v>0</v>
      </c>
      <c r="BI32" s="4">
        <f t="shared" ref="BI32:BI33" si="207">BH32</f>
        <v>0</v>
      </c>
      <c r="BJ32" s="4">
        <f t="shared" ref="BJ32:BJ33" si="208">BI32/17.25</f>
        <v>0</v>
      </c>
      <c r="BK32">
        <v>1</v>
      </c>
      <c r="BL32">
        <v>0.5</v>
      </c>
      <c r="BM32" s="4">
        <f>IF(ISNUMBER(BL32),_xlfn.XLOOKUP(A32,Unit_Codes[Unit Codes],Unit_Codes[CWS Hrs. Per Student],0),"")</f>
        <v>21.5</v>
      </c>
      <c r="BN32" s="4">
        <f t="shared" ref="BN32:BN33" si="209">IFERROR(BL32*BM32,0)</f>
        <v>10.75</v>
      </c>
      <c r="BO32" s="20">
        <f t="shared" ref="BO32:BO33" si="210">BN32/17.25</f>
        <v>0.62318840579710144</v>
      </c>
      <c r="BQ32" s="20">
        <f t="shared" ref="BQ32:BQ33" si="211">BP32/17.25</f>
        <v>0</v>
      </c>
    </row>
    <row r="33" spans="1:69" x14ac:dyDescent="0.25">
      <c r="A33" t="s">
        <v>40</v>
      </c>
      <c r="B33" t="s">
        <v>221</v>
      </c>
      <c r="C33" t="s">
        <v>827</v>
      </c>
      <c r="D33">
        <f>_xlfn.XLOOKUP(A33,Unit_Codes[Unit Codes],Unit_Codes[Enrolment '# (29.04.24)],"",0)</f>
        <v>15</v>
      </c>
      <c r="E33" t="str">
        <f t="shared" si="171"/>
        <v/>
      </c>
      <c r="F33" t="str">
        <f t="shared" si="172"/>
        <v>CITS5014Dummy, 07, 00000007</v>
      </c>
      <c r="G33">
        <f>COUNTIF($F$3:F33,F33)</f>
        <v>1</v>
      </c>
      <c r="H33" s="52" t="str">
        <f t="shared" si="173"/>
        <v>CITS5014Dummy, 07, 000000071</v>
      </c>
      <c r="I33" s="5">
        <f t="shared" si="174"/>
        <v>21.5</v>
      </c>
      <c r="J33" s="5">
        <f t="shared" si="175"/>
        <v>1.2463768115942029</v>
      </c>
      <c r="K33" s="10">
        <f t="shared" si="176"/>
        <v>0</v>
      </c>
      <c r="L33" s="10">
        <f t="shared" si="177"/>
        <v>0</v>
      </c>
      <c r="M33" s="14">
        <f t="shared" si="178"/>
        <v>0</v>
      </c>
      <c r="N33" s="14">
        <f t="shared" si="179"/>
        <v>0</v>
      </c>
      <c r="O33" s="16">
        <f t="shared" si="180"/>
        <v>21.5</v>
      </c>
      <c r="P33" s="16">
        <f t="shared" si="181"/>
        <v>1.2463768115942029</v>
      </c>
      <c r="Q33" s="12">
        <f t="shared" si="182"/>
        <v>0</v>
      </c>
      <c r="R33" s="18">
        <f t="shared" si="183"/>
        <v>0</v>
      </c>
      <c r="S33" s="114"/>
      <c r="V33" s="4" t="str">
        <f t="shared" si="184"/>
        <v/>
      </c>
      <c r="X33" s="4">
        <f t="shared" si="185"/>
        <v>0</v>
      </c>
      <c r="Y33" s="20">
        <f t="shared" si="186"/>
        <v>0</v>
      </c>
      <c r="AA33" s="4">
        <f t="shared" si="187"/>
        <v>0</v>
      </c>
      <c r="AB33" s="4">
        <f t="shared" si="188"/>
        <v>0</v>
      </c>
      <c r="AD33" s="4">
        <f t="shared" si="189"/>
        <v>0</v>
      </c>
      <c r="AE33" s="4">
        <f t="shared" si="190"/>
        <v>0</v>
      </c>
      <c r="AG33" s="4">
        <f t="shared" si="191"/>
        <v>0</v>
      </c>
      <c r="AH33" s="4">
        <f t="shared" si="192"/>
        <v>0</v>
      </c>
      <c r="AI33" s="109"/>
      <c r="AJ33" s="4">
        <f t="shared" si="193"/>
        <v>0</v>
      </c>
      <c r="AK33" s="4">
        <f t="shared" si="194"/>
        <v>0</v>
      </c>
      <c r="AM33" s="4">
        <f t="shared" si="195"/>
        <v>0</v>
      </c>
      <c r="AN33" s="4">
        <f t="shared" si="196"/>
        <v>0</v>
      </c>
      <c r="AP33" s="4">
        <f t="shared" si="197"/>
        <v>0</v>
      </c>
      <c r="AQ33" s="4">
        <f t="shared" si="198"/>
        <v>0</v>
      </c>
      <c r="AS33" s="4">
        <f t="shared" si="199"/>
        <v>0</v>
      </c>
      <c r="AT33" s="4">
        <f t="shared" si="200"/>
        <v>0</v>
      </c>
      <c r="AV33" s="4">
        <f t="shared" si="201"/>
        <v>0</v>
      </c>
      <c r="AW33" s="4">
        <f t="shared" si="202"/>
        <v>0</v>
      </c>
      <c r="BA33" s="4">
        <f t="shared" si="203"/>
        <v>0</v>
      </c>
      <c r="BB33" s="4">
        <f t="shared" si="204"/>
        <v>0</v>
      </c>
      <c r="BF33" s="4">
        <f t="shared" si="205"/>
        <v>0</v>
      </c>
      <c r="BG33" s="4">
        <f t="shared" si="206"/>
        <v>0</v>
      </c>
      <c r="BI33" s="4">
        <f t="shared" si="207"/>
        <v>0</v>
      </c>
      <c r="BJ33" s="4">
        <f t="shared" si="208"/>
        <v>0</v>
      </c>
      <c r="BK33">
        <v>1</v>
      </c>
      <c r="BL33">
        <v>1</v>
      </c>
      <c r="BM33" s="4">
        <f>IF(ISNUMBER(BL33),_xlfn.XLOOKUP(A33,Unit_Codes[Unit Codes],Unit_Codes[CWS Hrs. Per Student],0),"")</f>
        <v>21.5</v>
      </c>
      <c r="BN33" s="4">
        <f t="shared" si="209"/>
        <v>21.5</v>
      </c>
      <c r="BO33" s="20">
        <f t="shared" si="210"/>
        <v>1.2463768115942029</v>
      </c>
      <c r="BQ33" s="20">
        <f t="shared" si="211"/>
        <v>0</v>
      </c>
    </row>
    <row r="34" spans="1:69" x14ac:dyDescent="0.25">
      <c r="A34" t="s">
        <v>105</v>
      </c>
      <c r="B34" t="s">
        <v>221</v>
      </c>
      <c r="C34" t="s">
        <v>826</v>
      </c>
      <c r="D34">
        <f>_xlfn.XLOOKUP(A34,Unit_Codes[Unit Codes],Unit_Codes[Enrolment '# (29.04.24)],"",0)</f>
        <v>14</v>
      </c>
      <c r="E34" t="str">
        <f t="shared" ref="E34:E36" si="212">IF(T34="Yes",C34,"")</f>
        <v/>
      </c>
      <c r="F34" t="str">
        <f t="shared" ref="F34:F36" si="213">A34&amp;C34</f>
        <v>MATH4001Dummy, 06, 00000006</v>
      </c>
      <c r="G34">
        <f>COUNTIF($F$3:F34,F34)</f>
        <v>1</v>
      </c>
      <c r="H34" s="52" t="str">
        <f t="shared" ref="H34:H36" si="214">A34&amp;C34&amp;G34</f>
        <v>MATH4001Dummy, 06, 000000061</v>
      </c>
      <c r="I34" s="5">
        <f t="shared" ref="I34:I36" si="215">SUM(K34,M34,O34,Q34,S34)</f>
        <v>10.75</v>
      </c>
      <c r="J34" s="5">
        <f t="shared" ref="J34:J36" si="216">I34/17.25</f>
        <v>0.62318840579710144</v>
      </c>
      <c r="K34" s="10">
        <f t="shared" ref="K34:K36" si="217">X34</f>
        <v>0</v>
      </c>
      <c r="L34" s="10">
        <f t="shared" ref="L34:L36" si="218">K34/17.25</f>
        <v>0</v>
      </c>
      <c r="M34" s="14">
        <f t="shared" ref="M34:M36" si="219">SUM(AA34,AD34,AG34,AJ34,AM34,AP34,AS34,AV34,BA34,BF34,BI34)</f>
        <v>0</v>
      </c>
      <c r="N34" s="14">
        <f t="shared" ref="N34:N36" si="220">M34/17.25</f>
        <v>0</v>
      </c>
      <c r="O34" s="16">
        <f t="shared" ref="O34:O36" si="221">BN34</f>
        <v>10.75</v>
      </c>
      <c r="P34" s="16">
        <f t="shared" ref="P34:P36" si="222">O34/17.25</f>
        <v>0.62318840579710144</v>
      </c>
      <c r="Q34" s="12">
        <f t="shared" ref="Q34:Q36" si="223">BP34</f>
        <v>0</v>
      </c>
      <c r="R34" s="18">
        <f t="shared" ref="R34:R36" si="224">BQ34</f>
        <v>0</v>
      </c>
      <c r="S34" s="114"/>
      <c r="V34" s="4" t="str">
        <f t="shared" ref="V34:V36" si="225">IF(AND(T34="Yes",U34&gt;0),(((ROUNDUP(((35+(U34*0.8625))/17.25),1)))),"")</f>
        <v/>
      </c>
      <c r="X34" s="4">
        <f t="shared" ref="X34:X36" si="226">IFERROR(Y34*17.25,0)</f>
        <v>0</v>
      </c>
      <c r="Y34" s="20">
        <f t="shared" ref="Y34:Y36" si="227">IFERROR(V34*W34,0)</f>
        <v>0</v>
      </c>
      <c r="AA34" s="4">
        <f t="shared" ref="AA34:AA36" si="228">Z34*2</f>
        <v>0</v>
      </c>
      <c r="AB34" s="4">
        <f t="shared" ref="AB34:AB36" si="229">AA34/17.25</f>
        <v>0</v>
      </c>
      <c r="AD34" s="4">
        <f t="shared" ref="AD34:AD36" si="230">AC34*3</f>
        <v>0</v>
      </c>
      <c r="AE34" s="4">
        <f t="shared" ref="AE34:AE36" si="231">AD34/17.25</f>
        <v>0</v>
      </c>
      <c r="AG34" s="4">
        <f t="shared" ref="AG34:AG36" si="232">AF34*4</f>
        <v>0</v>
      </c>
      <c r="AH34" s="4">
        <f t="shared" ref="AH34:AH36" si="233">AG34/17.25</f>
        <v>0</v>
      </c>
      <c r="AI34" s="109"/>
      <c r="AJ34" s="4">
        <f t="shared" ref="AJ34:AJ36" si="234">AI34*3</f>
        <v>0</v>
      </c>
      <c r="AK34" s="4">
        <f t="shared" ref="AK34:AK36" si="235">AJ34/17.25</f>
        <v>0</v>
      </c>
      <c r="AM34" s="4">
        <f t="shared" ref="AM34:AM36" si="236">AL34*2</f>
        <v>0</v>
      </c>
      <c r="AN34" s="4">
        <f t="shared" ref="AN34:AN36" si="237">AM34/17.25</f>
        <v>0</v>
      </c>
      <c r="AP34" s="4">
        <f t="shared" ref="AP34:AP36" si="238">AO34</f>
        <v>0</v>
      </c>
      <c r="AQ34" s="4">
        <f t="shared" ref="AQ34:AQ36" si="239">AP34/17.25</f>
        <v>0</v>
      </c>
      <c r="AS34" s="4">
        <f t="shared" ref="AS34:AS36" si="240">AR34</f>
        <v>0</v>
      </c>
      <c r="AT34" s="4">
        <f t="shared" ref="AT34:AT36" si="241">AS34/17.25</f>
        <v>0</v>
      </c>
      <c r="AV34" s="4">
        <f t="shared" ref="AV34:AV36" si="242">AU34</f>
        <v>0</v>
      </c>
      <c r="AW34" s="4">
        <f t="shared" ref="AW34:AW36" si="243">AV34/17.25</f>
        <v>0</v>
      </c>
      <c r="BA34" s="4">
        <f t="shared" ref="BA34:BA36" si="244">AY34*(AZ34/60)</f>
        <v>0</v>
      </c>
      <c r="BB34" s="4">
        <f t="shared" ref="BB34:BB36" si="245">BA34/17.25</f>
        <v>0</v>
      </c>
      <c r="BF34" s="4">
        <f t="shared" ref="BF34:BF36" si="246">BD34*(BE34/60)</f>
        <v>0</v>
      </c>
      <c r="BG34" s="4">
        <f t="shared" ref="BG34:BG36" si="247">BF34/17.25</f>
        <v>0</v>
      </c>
      <c r="BI34" s="4">
        <f t="shared" ref="BI34:BI36" si="248">BH34</f>
        <v>0</v>
      </c>
      <c r="BJ34" s="4">
        <f t="shared" ref="BJ34:BJ36" si="249">BI34/17.25</f>
        <v>0</v>
      </c>
      <c r="BK34">
        <v>1</v>
      </c>
      <c r="BL34">
        <v>0.5</v>
      </c>
      <c r="BM34" s="4">
        <f>IF(ISNUMBER(BL34),_xlfn.XLOOKUP(A34,Unit_Codes[Unit Codes],Unit_Codes[CWS Hrs. Per Student],0),"")</f>
        <v>21.5</v>
      </c>
      <c r="BN34" s="4">
        <f t="shared" ref="BN34:BN36" si="250">IFERROR(BL34*BM34,0)</f>
        <v>10.75</v>
      </c>
      <c r="BO34" s="20">
        <f t="shared" ref="BO34:BO36" si="251">BN34/17.25</f>
        <v>0.62318840579710144</v>
      </c>
      <c r="BQ34" s="20">
        <f t="shared" ref="BQ34:BQ36" si="252">BP34/17.25</f>
        <v>0</v>
      </c>
    </row>
    <row r="35" spans="1:69" x14ac:dyDescent="0.25">
      <c r="A35" t="s">
        <v>105</v>
      </c>
      <c r="B35" t="s">
        <v>221</v>
      </c>
      <c r="C35" t="s">
        <v>832</v>
      </c>
      <c r="D35">
        <f>_xlfn.XLOOKUP(A35,Unit_Codes[Unit Codes],Unit_Codes[Enrolment '# (29.04.24)],"",0)</f>
        <v>14</v>
      </c>
      <c r="E35" t="str">
        <f t="shared" si="212"/>
        <v/>
      </c>
      <c r="F35" t="str">
        <f t="shared" si="213"/>
        <v>MATH4001Dummy, 09, 00000009</v>
      </c>
      <c r="G35">
        <f>COUNTIF($F$3:F35,F35)</f>
        <v>1</v>
      </c>
      <c r="H35" s="52" t="str">
        <f t="shared" si="214"/>
        <v>MATH4001Dummy, 09, 000000091</v>
      </c>
      <c r="I35" s="5">
        <f t="shared" si="215"/>
        <v>43</v>
      </c>
      <c r="J35" s="5">
        <f t="shared" si="216"/>
        <v>2.4927536231884058</v>
      </c>
      <c r="K35" s="10">
        <f t="shared" si="217"/>
        <v>0</v>
      </c>
      <c r="L35" s="10">
        <f t="shared" si="218"/>
        <v>0</v>
      </c>
      <c r="M35" s="14">
        <f t="shared" si="219"/>
        <v>0</v>
      </c>
      <c r="N35" s="14">
        <f t="shared" si="220"/>
        <v>0</v>
      </c>
      <c r="O35" s="16">
        <f t="shared" si="221"/>
        <v>43</v>
      </c>
      <c r="P35" s="16">
        <f t="shared" si="222"/>
        <v>2.4927536231884058</v>
      </c>
      <c r="Q35" s="12">
        <f t="shared" si="223"/>
        <v>0</v>
      </c>
      <c r="R35" s="18">
        <f t="shared" si="224"/>
        <v>0</v>
      </c>
      <c r="S35" s="114"/>
      <c r="V35" s="4" t="str">
        <f t="shared" si="225"/>
        <v/>
      </c>
      <c r="X35" s="4">
        <f t="shared" si="226"/>
        <v>0</v>
      </c>
      <c r="Y35" s="20">
        <f t="shared" si="227"/>
        <v>0</v>
      </c>
      <c r="AA35" s="4">
        <f t="shared" si="228"/>
        <v>0</v>
      </c>
      <c r="AB35" s="4">
        <f t="shared" si="229"/>
        <v>0</v>
      </c>
      <c r="AD35" s="4">
        <f t="shared" si="230"/>
        <v>0</v>
      </c>
      <c r="AE35" s="4">
        <f t="shared" si="231"/>
        <v>0</v>
      </c>
      <c r="AG35" s="4">
        <f t="shared" si="232"/>
        <v>0</v>
      </c>
      <c r="AH35" s="4">
        <f t="shared" si="233"/>
        <v>0</v>
      </c>
      <c r="AI35" s="109"/>
      <c r="AJ35" s="4">
        <f t="shared" si="234"/>
        <v>0</v>
      </c>
      <c r="AK35" s="4">
        <f t="shared" si="235"/>
        <v>0</v>
      </c>
      <c r="AM35" s="4">
        <f t="shared" si="236"/>
        <v>0</v>
      </c>
      <c r="AN35" s="4">
        <f t="shared" si="237"/>
        <v>0</v>
      </c>
      <c r="AP35" s="4">
        <f t="shared" si="238"/>
        <v>0</v>
      </c>
      <c r="AQ35" s="4">
        <f t="shared" si="239"/>
        <v>0</v>
      </c>
      <c r="AS35" s="4">
        <f t="shared" si="240"/>
        <v>0</v>
      </c>
      <c r="AT35" s="4">
        <f t="shared" si="241"/>
        <v>0</v>
      </c>
      <c r="AV35" s="4">
        <f t="shared" si="242"/>
        <v>0</v>
      </c>
      <c r="AW35" s="4">
        <f t="shared" si="243"/>
        <v>0</v>
      </c>
      <c r="BA35" s="4">
        <f t="shared" si="244"/>
        <v>0</v>
      </c>
      <c r="BB35" s="4">
        <f t="shared" si="245"/>
        <v>0</v>
      </c>
      <c r="BF35" s="4">
        <f t="shared" si="246"/>
        <v>0</v>
      </c>
      <c r="BG35" s="4">
        <f t="shared" si="247"/>
        <v>0</v>
      </c>
      <c r="BI35" s="4">
        <f t="shared" si="248"/>
        <v>0</v>
      </c>
      <c r="BJ35" s="4">
        <f t="shared" si="249"/>
        <v>0</v>
      </c>
      <c r="BK35">
        <v>2</v>
      </c>
      <c r="BL35">
        <v>2</v>
      </c>
      <c r="BM35" s="4">
        <f>IF(ISNUMBER(BL35),_xlfn.XLOOKUP(A35,Unit_Codes[Unit Codes],Unit_Codes[CWS Hrs. Per Student],0),"")</f>
        <v>21.5</v>
      </c>
      <c r="BN35" s="4">
        <f t="shared" si="250"/>
        <v>43</v>
      </c>
      <c r="BO35" s="20">
        <f t="shared" si="251"/>
        <v>2.4927536231884058</v>
      </c>
      <c r="BQ35" s="20">
        <f t="shared" si="252"/>
        <v>0</v>
      </c>
    </row>
    <row r="36" spans="1:69" x14ac:dyDescent="0.25">
      <c r="A36" t="s">
        <v>105</v>
      </c>
      <c r="B36" t="s">
        <v>221</v>
      </c>
      <c r="C36" t="s">
        <v>834</v>
      </c>
      <c r="D36">
        <f>_xlfn.XLOOKUP(A36,Unit_Codes[Unit Codes],Unit_Codes[Enrolment '# (29.04.24)],"",0)</f>
        <v>14</v>
      </c>
      <c r="E36" t="str">
        <f t="shared" si="212"/>
        <v/>
      </c>
      <c r="F36" t="str">
        <f t="shared" si="213"/>
        <v>MATH4001Dummy, 16, 00000016</v>
      </c>
      <c r="G36">
        <f>COUNTIF($F$3:F36,F36)</f>
        <v>1</v>
      </c>
      <c r="H36" s="52" t="str">
        <f t="shared" si="214"/>
        <v>MATH4001Dummy, 16, 000000161</v>
      </c>
      <c r="I36" s="5">
        <f t="shared" si="215"/>
        <v>21.5</v>
      </c>
      <c r="J36" s="5">
        <f t="shared" si="216"/>
        <v>1.2463768115942029</v>
      </c>
      <c r="K36" s="10">
        <f t="shared" si="217"/>
        <v>0</v>
      </c>
      <c r="L36" s="10">
        <f t="shared" si="218"/>
        <v>0</v>
      </c>
      <c r="M36" s="14">
        <f t="shared" si="219"/>
        <v>0</v>
      </c>
      <c r="N36" s="14">
        <f t="shared" si="220"/>
        <v>0</v>
      </c>
      <c r="O36" s="16">
        <f t="shared" si="221"/>
        <v>21.5</v>
      </c>
      <c r="P36" s="16">
        <f t="shared" si="222"/>
        <v>1.2463768115942029</v>
      </c>
      <c r="Q36" s="12">
        <f t="shared" si="223"/>
        <v>0</v>
      </c>
      <c r="R36" s="18">
        <f t="shared" si="224"/>
        <v>0</v>
      </c>
      <c r="S36" s="114"/>
      <c r="V36" s="4" t="str">
        <f t="shared" si="225"/>
        <v/>
      </c>
      <c r="X36" s="4">
        <f t="shared" si="226"/>
        <v>0</v>
      </c>
      <c r="Y36" s="20">
        <f t="shared" si="227"/>
        <v>0</v>
      </c>
      <c r="AA36" s="4">
        <f t="shared" si="228"/>
        <v>0</v>
      </c>
      <c r="AB36" s="4">
        <f t="shared" si="229"/>
        <v>0</v>
      </c>
      <c r="AD36" s="4">
        <f t="shared" si="230"/>
        <v>0</v>
      </c>
      <c r="AE36" s="4">
        <f t="shared" si="231"/>
        <v>0</v>
      </c>
      <c r="AG36" s="4">
        <f t="shared" si="232"/>
        <v>0</v>
      </c>
      <c r="AH36" s="4">
        <f t="shared" si="233"/>
        <v>0</v>
      </c>
      <c r="AI36" s="109"/>
      <c r="AJ36" s="4">
        <f t="shared" si="234"/>
        <v>0</v>
      </c>
      <c r="AK36" s="4">
        <f t="shared" si="235"/>
        <v>0</v>
      </c>
      <c r="AM36" s="4">
        <f t="shared" si="236"/>
        <v>0</v>
      </c>
      <c r="AN36" s="4">
        <f t="shared" si="237"/>
        <v>0</v>
      </c>
      <c r="AP36" s="4">
        <f t="shared" si="238"/>
        <v>0</v>
      </c>
      <c r="AQ36" s="4">
        <f t="shared" si="239"/>
        <v>0</v>
      </c>
      <c r="AS36" s="4">
        <f t="shared" si="240"/>
        <v>0</v>
      </c>
      <c r="AT36" s="4">
        <f t="shared" si="241"/>
        <v>0</v>
      </c>
      <c r="AV36" s="4">
        <f t="shared" si="242"/>
        <v>0</v>
      </c>
      <c r="AW36" s="4">
        <f t="shared" si="243"/>
        <v>0</v>
      </c>
      <c r="BA36" s="4">
        <f t="shared" si="244"/>
        <v>0</v>
      </c>
      <c r="BB36" s="4">
        <f t="shared" si="245"/>
        <v>0</v>
      </c>
      <c r="BF36" s="4">
        <f t="shared" si="246"/>
        <v>0</v>
      </c>
      <c r="BG36" s="4">
        <f t="shared" si="247"/>
        <v>0</v>
      </c>
      <c r="BI36" s="4">
        <f t="shared" si="248"/>
        <v>0</v>
      </c>
      <c r="BJ36" s="4">
        <f t="shared" si="249"/>
        <v>0</v>
      </c>
      <c r="BK36">
        <v>2</v>
      </c>
      <c r="BL36">
        <v>1</v>
      </c>
      <c r="BM36" s="4">
        <f>IF(ISNUMBER(BL36),_xlfn.XLOOKUP(A36,Unit_Codes[Unit Codes],Unit_Codes[CWS Hrs. Per Student],0),"")</f>
        <v>21.5</v>
      </c>
      <c r="BN36" s="4">
        <f t="shared" si="250"/>
        <v>21.5</v>
      </c>
      <c r="BO36" s="20">
        <f t="shared" si="251"/>
        <v>1.2463768115942029</v>
      </c>
      <c r="BQ36" s="20">
        <f t="shared" si="252"/>
        <v>0</v>
      </c>
    </row>
    <row r="37" spans="1:69" x14ac:dyDescent="0.25">
      <c r="B37" s="105" t="s">
        <v>221</v>
      </c>
      <c r="D37" t="str">
        <f>_xlfn.XLOOKUP(A37,Unit_Codes[Unit Codes],Unit_Codes[Enrolment '# (29.04.24)],"",0)</f>
        <v/>
      </c>
      <c r="E37" t="str">
        <f t="shared" ref="E37:E67" si="253">IF(T37="Yes",C37,"")</f>
        <v/>
      </c>
      <c r="F37" t="str">
        <f t="shared" ref="F37:F67" si="254">A37&amp;C37</f>
        <v/>
      </c>
      <c r="G37">
        <f>COUNTIF($F$3:F37,F37)</f>
        <v>1</v>
      </c>
      <c r="H37" s="52" t="str">
        <f t="shared" ref="H37:H67" si="255">A37&amp;C37&amp;G37</f>
        <v>1</v>
      </c>
      <c r="I37" s="5">
        <f t="shared" ref="I37:I67" si="256">SUM(K37,M37,O37,Q37,S37)</f>
        <v>0</v>
      </c>
      <c r="J37" s="5">
        <f t="shared" ref="J37:J67" si="257">I37/17.25</f>
        <v>0</v>
      </c>
      <c r="K37" s="10">
        <f t="shared" ref="K37:K67" si="258">X37</f>
        <v>0</v>
      </c>
      <c r="L37" s="10">
        <f t="shared" ref="L37:L67" si="259">K37/17.25</f>
        <v>0</v>
      </c>
      <c r="M37" s="14">
        <f t="shared" ref="M37:M67" si="260">SUM(AA37,AD37,AG37,AJ37,AM37,AP37,AS37,AV37,BA37,BF37,BI37)</f>
        <v>0</v>
      </c>
      <c r="N37" s="14">
        <f t="shared" ref="N37:N67" si="261">M37/17.25</f>
        <v>0</v>
      </c>
      <c r="O37" s="16">
        <f t="shared" ref="O37:O67" si="262">BN37</f>
        <v>0</v>
      </c>
      <c r="P37" s="16">
        <f t="shared" ref="P37:P67" si="263">O37/17.25</f>
        <v>0</v>
      </c>
      <c r="Q37" s="12">
        <f t="shared" ref="Q37:Q67" si="264">BP37</f>
        <v>0</v>
      </c>
      <c r="R37" s="18">
        <f t="shared" ref="R37:R67" si="265">BQ37</f>
        <v>0</v>
      </c>
      <c r="S37" s="114"/>
      <c r="V37" s="4" t="str">
        <f t="shared" ref="V37:V67" si="266">IF(AND(T37="Yes",U37&gt;0),(((ROUNDUP(((35+(U37*0.8625))/17.25),1)))),"")</f>
        <v/>
      </c>
      <c r="X37" s="4">
        <f t="shared" ref="X37:X67" si="267">IFERROR(Y37*17.25,0)</f>
        <v>0</v>
      </c>
      <c r="Y37" s="20">
        <f t="shared" ref="Y37:Y67" si="268">IFERROR(V37*W37,0)</f>
        <v>0</v>
      </c>
      <c r="AA37" s="4">
        <f t="shared" ref="AA37:AA67" si="269">Z37*2</f>
        <v>0</v>
      </c>
      <c r="AB37" s="4">
        <f t="shared" ref="AB37:AB67" si="270">AA37/17.25</f>
        <v>0</v>
      </c>
      <c r="AD37" s="4">
        <f t="shared" ref="AD37:AD67" si="271">AC37*3</f>
        <v>0</v>
      </c>
      <c r="AE37" s="4">
        <f t="shared" ref="AE37:AE67" si="272">AD37/17.25</f>
        <v>0</v>
      </c>
      <c r="AG37" s="4">
        <f t="shared" ref="AG37:AG67" si="273">AF37*4</f>
        <v>0</v>
      </c>
      <c r="AH37" s="4">
        <f t="shared" ref="AH37:AH67" si="274">AG37/17.25</f>
        <v>0</v>
      </c>
      <c r="AI37" s="109"/>
      <c r="AJ37" s="4">
        <f t="shared" ref="AJ37:AJ67" si="275">AI37*3</f>
        <v>0</v>
      </c>
      <c r="AK37" s="4">
        <f t="shared" ref="AK37:AK67" si="276">AJ37/17.25</f>
        <v>0</v>
      </c>
      <c r="AM37" s="4">
        <f t="shared" ref="AM37:AM67" si="277">AL37*2</f>
        <v>0</v>
      </c>
      <c r="AN37" s="4">
        <f t="shared" ref="AN37:AN67" si="278">AM37/17.25</f>
        <v>0</v>
      </c>
      <c r="AP37" s="4">
        <f t="shared" ref="AP37:AP67" si="279">AO37</f>
        <v>0</v>
      </c>
      <c r="AQ37" s="4">
        <f t="shared" ref="AQ37:AQ67" si="280">AP37/17.25</f>
        <v>0</v>
      </c>
      <c r="AS37" s="4">
        <f t="shared" ref="AS37:AS67" si="281">AR37</f>
        <v>0</v>
      </c>
      <c r="AT37" s="4">
        <f t="shared" ref="AT37:AT67" si="282">AS37/17.25</f>
        <v>0</v>
      </c>
      <c r="AV37" s="4">
        <f t="shared" ref="AV37:AV67" si="283">AU37</f>
        <v>0</v>
      </c>
      <c r="AW37" s="4">
        <f t="shared" ref="AW37:AW67" si="284">AV37/17.25</f>
        <v>0</v>
      </c>
      <c r="BA37" s="4">
        <f t="shared" ref="BA37:BA67" si="285">AY37*(AZ37/60)</f>
        <v>0</v>
      </c>
      <c r="BB37" s="4">
        <f t="shared" ref="BB37:BB67" si="286">BA37/17.25</f>
        <v>0</v>
      </c>
      <c r="BF37" s="4">
        <f t="shared" ref="BF37:BF67" si="287">BD37*(BE37/60)</f>
        <v>0</v>
      </c>
      <c r="BG37" s="4">
        <f t="shared" ref="BG37:BG67" si="288">BF37/17.25</f>
        <v>0</v>
      </c>
      <c r="BI37" s="4">
        <f t="shared" ref="BI37:BI67" si="289">BH37</f>
        <v>0</v>
      </c>
      <c r="BJ37" s="4">
        <f t="shared" ref="BJ37:BJ67" si="290">BI37/17.25</f>
        <v>0</v>
      </c>
      <c r="BK37" s="111"/>
      <c r="BM37" s="4" t="str">
        <f>IF(ISNUMBER(BL37),_xlfn.XLOOKUP(A37,Unit_Codes[Unit Codes],Unit_Codes[CWS Hrs. Per Student],0),"")</f>
        <v/>
      </c>
      <c r="BN37" s="4">
        <f t="shared" ref="BN37:BN67" si="291">IFERROR(BL37*BM37,0)</f>
        <v>0</v>
      </c>
      <c r="BO37" s="20">
        <f t="shared" ref="BO37:BO67" si="292">BN37/17.25</f>
        <v>0</v>
      </c>
      <c r="BQ37" s="20">
        <f t="shared" ref="BQ37:BQ67" si="293">BP37/17.25</f>
        <v>0</v>
      </c>
    </row>
    <row r="38" spans="1:69" x14ac:dyDescent="0.25">
      <c r="B38" s="105" t="s">
        <v>221</v>
      </c>
      <c r="D38" t="str">
        <f>_xlfn.XLOOKUP(A38,Unit_Codes[Unit Codes],Unit_Codes[Enrolment '# (29.04.24)],"",0)</f>
        <v/>
      </c>
      <c r="E38" t="str">
        <f t="shared" si="253"/>
        <v/>
      </c>
      <c r="F38" t="str">
        <f t="shared" si="254"/>
        <v/>
      </c>
      <c r="G38">
        <f>COUNTIF($F$3:F38,F38)</f>
        <v>2</v>
      </c>
      <c r="H38" s="52" t="str">
        <f t="shared" si="255"/>
        <v>2</v>
      </c>
      <c r="I38" s="5">
        <f t="shared" si="256"/>
        <v>0</v>
      </c>
      <c r="J38" s="5">
        <f t="shared" si="257"/>
        <v>0</v>
      </c>
      <c r="K38" s="10">
        <f t="shared" si="258"/>
        <v>0</v>
      </c>
      <c r="L38" s="10">
        <f t="shared" si="259"/>
        <v>0</v>
      </c>
      <c r="M38" s="14">
        <f t="shared" si="260"/>
        <v>0</v>
      </c>
      <c r="N38" s="14">
        <f t="shared" si="261"/>
        <v>0</v>
      </c>
      <c r="O38" s="16">
        <f t="shared" si="262"/>
        <v>0</v>
      </c>
      <c r="P38" s="16">
        <f t="shared" si="263"/>
        <v>0</v>
      </c>
      <c r="Q38" s="12">
        <f t="shared" si="264"/>
        <v>0</v>
      </c>
      <c r="R38" s="18">
        <f t="shared" si="265"/>
        <v>0</v>
      </c>
      <c r="S38" s="114"/>
      <c r="V38" s="4" t="str">
        <f t="shared" si="266"/>
        <v/>
      </c>
      <c r="X38" s="4">
        <f t="shared" si="267"/>
        <v>0</v>
      </c>
      <c r="Y38" s="20">
        <f t="shared" si="268"/>
        <v>0</v>
      </c>
      <c r="AA38" s="4">
        <f t="shared" si="269"/>
        <v>0</v>
      </c>
      <c r="AB38" s="4">
        <f t="shared" si="270"/>
        <v>0</v>
      </c>
      <c r="AD38" s="4">
        <f t="shared" si="271"/>
        <v>0</v>
      </c>
      <c r="AE38" s="4">
        <f t="shared" si="272"/>
        <v>0</v>
      </c>
      <c r="AG38" s="4">
        <f t="shared" si="273"/>
        <v>0</v>
      </c>
      <c r="AH38" s="4">
        <f t="shared" si="274"/>
        <v>0</v>
      </c>
      <c r="AI38" s="109"/>
      <c r="AJ38" s="4">
        <f t="shared" si="275"/>
        <v>0</v>
      </c>
      <c r="AK38" s="4">
        <f t="shared" si="276"/>
        <v>0</v>
      </c>
      <c r="AM38" s="4">
        <f t="shared" si="277"/>
        <v>0</v>
      </c>
      <c r="AN38" s="4">
        <f t="shared" si="278"/>
        <v>0</v>
      </c>
      <c r="AP38" s="4">
        <f t="shared" si="279"/>
        <v>0</v>
      </c>
      <c r="AQ38" s="4">
        <f t="shared" si="280"/>
        <v>0</v>
      </c>
      <c r="AS38" s="4">
        <f t="shared" si="281"/>
        <v>0</v>
      </c>
      <c r="AT38" s="4">
        <f t="shared" si="282"/>
        <v>0</v>
      </c>
      <c r="AV38" s="4">
        <f t="shared" si="283"/>
        <v>0</v>
      </c>
      <c r="AW38" s="4">
        <f t="shared" si="284"/>
        <v>0</v>
      </c>
      <c r="BA38" s="4">
        <f t="shared" si="285"/>
        <v>0</v>
      </c>
      <c r="BB38" s="4">
        <f t="shared" si="286"/>
        <v>0</v>
      </c>
      <c r="BF38" s="4">
        <f t="shared" si="287"/>
        <v>0</v>
      </c>
      <c r="BG38" s="4">
        <f t="shared" si="288"/>
        <v>0</v>
      </c>
      <c r="BI38" s="4">
        <f t="shared" si="289"/>
        <v>0</v>
      </c>
      <c r="BJ38" s="4">
        <f t="shared" si="290"/>
        <v>0</v>
      </c>
      <c r="BK38" s="111"/>
      <c r="BM38" s="4" t="str">
        <f>IF(ISNUMBER(BL38),_xlfn.XLOOKUP(A38,Unit_Codes[Unit Codes],Unit_Codes[CWS Hrs. Per Student],0),"")</f>
        <v/>
      </c>
      <c r="BN38" s="4">
        <f t="shared" si="291"/>
        <v>0</v>
      </c>
      <c r="BO38" s="20">
        <f t="shared" si="292"/>
        <v>0</v>
      </c>
      <c r="BQ38" s="20">
        <f t="shared" si="293"/>
        <v>0</v>
      </c>
    </row>
    <row r="39" spans="1:69" x14ac:dyDescent="0.25">
      <c r="B39" s="105" t="s">
        <v>221</v>
      </c>
      <c r="D39" t="str">
        <f>_xlfn.XLOOKUP(A39,Unit_Codes[Unit Codes],Unit_Codes[Enrolment '# (29.04.24)],"",0)</f>
        <v/>
      </c>
      <c r="E39" t="str">
        <f t="shared" si="253"/>
        <v/>
      </c>
      <c r="F39" t="str">
        <f t="shared" si="254"/>
        <v/>
      </c>
      <c r="G39">
        <f>COUNTIF($F$3:F39,F39)</f>
        <v>3</v>
      </c>
      <c r="H39" s="52" t="str">
        <f t="shared" si="255"/>
        <v>3</v>
      </c>
      <c r="I39" s="5">
        <f t="shared" si="256"/>
        <v>0</v>
      </c>
      <c r="J39" s="5">
        <f t="shared" si="257"/>
        <v>0</v>
      </c>
      <c r="K39" s="10">
        <f t="shared" si="258"/>
        <v>0</v>
      </c>
      <c r="L39" s="10">
        <f t="shared" si="259"/>
        <v>0</v>
      </c>
      <c r="M39" s="14">
        <f t="shared" si="260"/>
        <v>0</v>
      </c>
      <c r="N39" s="14">
        <f t="shared" si="261"/>
        <v>0</v>
      </c>
      <c r="O39" s="16">
        <f t="shared" si="262"/>
        <v>0</v>
      </c>
      <c r="P39" s="16">
        <f t="shared" si="263"/>
        <v>0</v>
      </c>
      <c r="Q39" s="12">
        <f t="shared" si="264"/>
        <v>0</v>
      </c>
      <c r="R39" s="18">
        <f t="shared" si="265"/>
        <v>0</v>
      </c>
      <c r="S39" s="114"/>
      <c r="V39" s="4" t="str">
        <f t="shared" si="266"/>
        <v/>
      </c>
      <c r="X39" s="4">
        <f t="shared" si="267"/>
        <v>0</v>
      </c>
      <c r="Y39" s="20">
        <f t="shared" si="268"/>
        <v>0</v>
      </c>
      <c r="AA39" s="4">
        <f t="shared" si="269"/>
        <v>0</v>
      </c>
      <c r="AB39" s="4">
        <f t="shared" si="270"/>
        <v>0</v>
      </c>
      <c r="AD39" s="4">
        <f t="shared" si="271"/>
        <v>0</v>
      </c>
      <c r="AE39" s="4">
        <f t="shared" si="272"/>
        <v>0</v>
      </c>
      <c r="AG39" s="4">
        <f t="shared" si="273"/>
        <v>0</v>
      </c>
      <c r="AH39" s="4">
        <f t="shared" si="274"/>
        <v>0</v>
      </c>
      <c r="AI39" s="109"/>
      <c r="AJ39" s="4">
        <f t="shared" si="275"/>
        <v>0</v>
      </c>
      <c r="AK39" s="4">
        <f t="shared" si="276"/>
        <v>0</v>
      </c>
      <c r="AM39" s="4">
        <f t="shared" si="277"/>
        <v>0</v>
      </c>
      <c r="AN39" s="4">
        <f t="shared" si="278"/>
        <v>0</v>
      </c>
      <c r="AP39" s="4">
        <f t="shared" si="279"/>
        <v>0</v>
      </c>
      <c r="AQ39" s="4">
        <f t="shared" si="280"/>
        <v>0</v>
      </c>
      <c r="AS39" s="4">
        <f t="shared" si="281"/>
        <v>0</v>
      </c>
      <c r="AT39" s="4">
        <f t="shared" si="282"/>
        <v>0</v>
      </c>
      <c r="AV39" s="4">
        <f t="shared" si="283"/>
        <v>0</v>
      </c>
      <c r="AW39" s="4">
        <f t="shared" si="284"/>
        <v>0</v>
      </c>
      <c r="BA39" s="4">
        <f t="shared" si="285"/>
        <v>0</v>
      </c>
      <c r="BB39" s="4">
        <f t="shared" si="286"/>
        <v>0</v>
      </c>
      <c r="BF39" s="4">
        <f t="shared" si="287"/>
        <v>0</v>
      </c>
      <c r="BG39" s="4">
        <f t="shared" si="288"/>
        <v>0</v>
      </c>
      <c r="BI39" s="4">
        <f t="shared" si="289"/>
        <v>0</v>
      </c>
      <c r="BJ39" s="4">
        <f t="shared" si="290"/>
        <v>0</v>
      </c>
      <c r="BK39" s="111"/>
      <c r="BM39" s="4" t="str">
        <f>IF(ISNUMBER(BL39),_xlfn.XLOOKUP(A39,Unit_Codes[Unit Codes],Unit_Codes[CWS Hrs. Per Student],0),"")</f>
        <v/>
      </c>
      <c r="BN39" s="4">
        <f t="shared" si="291"/>
        <v>0</v>
      </c>
      <c r="BO39" s="20">
        <f t="shared" si="292"/>
        <v>0</v>
      </c>
      <c r="BQ39" s="20">
        <f t="shared" si="293"/>
        <v>0</v>
      </c>
    </row>
    <row r="40" spans="1:69" x14ac:dyDescent="0.25">
      <c r="B40" s="105" t="s">
        <v>221</v>
      </c>
      <c r="D40" t="str">
        <f>_xlfn.XLOOKUP(A40,Unit_Codes[Unit Codes],Unit_Codes[Enrolment '# (29.04.24)],"",0)</f>
        <v/>
      </c>
      <c r="E40" t="str">
        <f t="shared" si="253"/>
        <v/>
      </c>
      <c r="F40" t="str">
        <f t="shared" si="254"/>
        <v/>
      </c>
      <c r="G40">
        <f>COUNTIF($F$3:F40,F40)</f>
        <v>4</v>
      </c>
      <c r="H40" s="52" t="str">
        <f t="shared" si="255"/>
        <v>4</v>
      </c>
      <c r="I40" s="5">
        <f t="shared" si="256"/>
        <v>0</v>
      </c>
      <c r="J40" s="5">
        <f t="shared" si="257"/>
        <v>0</v>
      </c>
      <c r="K40" s="10">
        <f t="shared" si="258"/>
        <v>0</v>
      </c>
      <c r="L40" s="10">
        <f t="shared" si="259"/>
        <v>0</v>
      </c>
      <c r="M40" s="14">
        <f t="shared" si="260"/>
        <v>0</v>
      </c>
      <c r="N40" s="14">
        <f t="shared" si="261"/>
        <v>0</v>
      </c>
      <c r="O40" s="16">
        <f t="shared" si="262"/>
        <v>0</v>
      </c>
      <c r="P40" s="16">
        <f t="shared" si="263"/>
        <v>0</v>
      </c>
      <c r="Q40" s="12">
        <f t="shared" si="264"/>
        <v>0</v>
      </c>
      <c r="R40" s="18">
        <f t="shared" si="265"/>
        <v>0</v>
      </c>
      <c r="S40" s="114"/>
      <c r="V40" s="4" t="str">
        <f t="shared" si="266"/>
        <v/>
      </c>
      <c r="X40" s="4">
        <f t="shared" si="267"/>
        <v>0</v>
      </c>
      <c r="Y40" s="20">
        <f t="shared" si="268"/>
        <v>0</v>
      </c>
      <c r="AA40" s="4">
        <f t="shared" si="269"/>
        <v>0</v>
      </c>
      <c r="AB40" s="4">
        <f t="shared" si="270"/>
        <v>0</v>
      </c>
      <c r="AD40" s="4">
        <f t="shared" si="271"/>
        <v>0</v>
      </c>
      <c r="AE40" s="4">
        <f t="shared" si="272"/>
        <v>0</v>
      </c>
      <c r="AG40" s="4">
        <f t="shared" si="273"/>
        <v>0</v>
      </c>
      <c r="AH40" s="4">
        <f t="shared" si="274"/>
        <v>0</v>
      </c>
      <c r="AI40" s="109"/>
      <c r="AJ40" s="4">
        <f t="shared" si="275"/>
        <v>0</v>
      </c>
      <c r="AK40" s="4">
        <f t="shared" si="276"/>
        <v>0</v>
      </c>
      <c r="AM40" s="4">
        <f t="shared" si="277"/>
        <v>0</v>
      </c>
      <c r="AN40" s="4">
        <f t="shared" si="278"/>
        <v>0</v>
      </c>
      <c r="AP40" s="4">
        <f t="shared" si="279"/>
        <v>0</v>
      </c>
      <c r="AQ40" s="4">
        <f t="shared" si="280"/>
        <v>0</v>
      </c>
      <c r="AS40" s="4">
        <f t="shared" si="281"/>
        <v>0</v>
      </c>
      <c r="AT40" s="4">
        <f t="shared" si="282"/>
        <v>0</v>
      </c>
      <c r="AV40" s="4">
        <f t="shared" si="283"/>
        <v>0</v>
      </c>
      <c r="AW40" s="4">
        <f t="shared" si="284"/>
        <v>0</v>
      </c>
      <c r="BA40" s="4">
        <f t="shared" si="285"/>
        <v>0</v>
      </c>
      <c r="BB40" s="4">
        <f t="shared" si="286"/>
        <v>0</v>
      </c>
      <c r="BF40" s="4">
        <f t="shared" si="287"/>
        <v>0</v>
      </c>
      <c r="BG40" s="4">
        <f t="shared" si="288"/>
        <v>0</v>
      </c>
      <c r="BI40" s="4">
        <f t="shared" si="289"/>
        <v>0</v>
      </c>
      <c r="BJ40" s="4">
        <f t="shared" si="290"/>
        <v>0</v>
      </c>
      <c r="BK40" s="111"/>
      <c r="BM40" s="4" t="str">
        <f>IF(ISNUMBER(BL40),_xlfn.XLOOKUP(A40,Unit_Codes[Unit Codes],Unit_Codes[CWS Hrs. Per Student],0),"")</f>
        <v/>
      </c>
      <c r="BN40" s="4">
        <f t="shared" si="291"/>
        <v>0</v>
      </c>
      <c r="BO40" s="20">
        <f t="shared" si="292"/>
        <v>0</v>
      </c>
      <c r="BQ40" s="20">
        <f t="shared" si="293"/>
        <v>0</v>
      </c>
    </row>
    <row r="41" spans="1:69" x14ac:dyDescent="0.25">
      <c r="B41" s="105" t="s">
        <v>221</v>
      </c>
      <c r="D41" t="str">
        <f>_xlfn.XLOOKUP(A41,Unit_Codes[Unit Codes],Unit_Codes[Enrolment '# (29.04.24)],"",0)</f>
        <v/>
      </c>
      <c r="E41" t="str">
        <f t="shared" si="253"/>
        <v/>
      </c>
      <c r="F41" t="str">
        <f t="shared" si="254"/>
        <v/>
      </c>
      <c r="G41">
        <f>COUNTIF($F$3:F41,F41)</f>
        <v>5</v>
      </c>
      <c r="H41" s="52" t="str">
        <f t="shared" si="255"/>
        <v>5</v>
      </c>
      <c r="I41" s="5">
        <f t="shared" si="256"/>
        <v>0</v>
      </c>
      <c r="J41" s="5">
        <f t="shared" si="257"/>
        <v>0</v>
      </c>
      <c r="K41" s="10">
        <f t="shared" si="258"/>
        <v>0</v>
      </c>
      <c r="L41" s="10">
        <f t="shared" si="259"/>
        <v>0</v>
      </c>
      <c r="M41" s="14">
        <f t="shared" si="260"/>
        <v>0</v>
      </c>
      <c r="N41" s="14">
        <f t="shared" si="261"/>
        <v>0</v>
      </c>
      <c r="O41" s="16">
        <f t="shared" si="262"/>
        <v>0</v>
      </c>
      <c r="P41" s="16">
        <f t="shared" si="263"/>
        <v>0</v>
      </c>
      <c r="Q41" s="12">
        <f t="shared" si="264"/>
        <v>0</v>
      </c>
      <c r="R41" s="18">
        <f t="shared" si="265"/>
        <v>0</v>
      </c>
      <c r="S41" s="114"/>
      <c r="V41" s="4" t="str">
        <f t="shared" si="266"/>
        <v/>
      </c>
      <c r="X41" s="4">
        <f t="shared" si="267"/>
        <v>0</v>
      </c>
      <c r="Y41" s="20">
        <f t="shared" si="268"/>
        <v>0</v>
      </c>
      <c r="AA41" s="4">
        <f t="shared" si="269"/>
        <v>0</v>
      </c>
      <c r="AB41" s="4">
        <f t="shared" si="270"/>
        <v>0</v>
      </c>
      <c r="AD41" s="4">
        <f t="shared" si="271"/>
        <v>0</v>
      </c>
      <c r="AE41" s="4">
        <f t="shared" si="272"/>
        <v>0</v>
      </c>
      <c r="AG41" s="4">
        <f t="shared" si="273"/>
        <v>0</v>
      </c>
      <c r="AH41" s="4">
        <f t="shared" si="274"/>
        <v>0</v>
      </c>
      <c r="AI41" s="109"/>
      <c r="AJ41" s="4">
        <f t="shared" si="275"/>
        <v>0</v>
      </c>
      <c r="AK41" s="4">
        <f t="shared" si="276"/>
        <v>0</v>
      </c>
      <c r="AM41" s="4">
        <f t="shared" si="277"/>
        <v>0</v>
      </c>
      <c r="AN41" s="4">
        <f t="shared" si="278"/>
        <v>0</v>
      </c>
      <c r="AP41" s="4">
        <f t="shared" si="279"/>
        <v>0</v>
      </c>
      <c r="AQ41" s="4">
        <f t="shared" si="280"/>
        <v>0</v>
      </c>
      <c r="AS41" s="4">
        <f t="shared" si="281"/>
        <v>0</v>
      </c>
      <c r="AT41" s="4">
        <f t="shared" si="282"/>
        <v>0</v>
      </c>
      <c r="AV41" s="4">
        <f t="shared" si="283"/>
        <v>0</v>
      </c>
      <c r="AW41" s="4">
        <f t="shared" si="284"/>
        <v>0</v>
      </c>
      <c r="BA41" s="4">
        <f t="shared" si="285"/>
        <v>0</v>
      </c>
      <c r="BB41" s="4">
        <f t="shared" si="286"/>
        <v>0</v>
      </c>
      <c r="BF41" s="4">
        <f t="shared" si="287"/>
        <v>0</v>
      </c>
      <c r="BG41" s="4">
        <f t="shared" si="288"/>
        <v>0</v>
      </c>
      <c r="BI41" s="4">
        <f t="shared" si="289"/>
        <v>0</v>
      </c>
      <c r="BJ41" s="4">
        <f t="shared" si="290"/>
        <v>0</v>
      </c>
      <c r="BK41" s="111"/>
      <c r="BM41" s="4" t="str">
        <f>IF(ISNUMBER(BL41),_xlfn.XLOOKUP(A41,Unit_Codes[Unit Codes],Unit_Codes[CWS Hrs. Per Student],0),"")</f>
        <v/>
      </c>
      <c r="BN41" s="4">
        <f t="shared" si="291"/>
        <v>0</v>
      </c>
      <c r="BO41" s="20">
        <f t="shared" si="292"/>
        <v>0</v>
      </c>
      <c r="BQ41" s="20">
        <f t="shared" si="293"/>
        <v>0</v>
      </c>
    </row>
    <row r="42" spans="1:69" x14ac:dyDescent="0.25">
      <c r="B42" s="105" t="s">
        <v>221</v>
      </c>
      <c r="D42" t="str">
        <f>_xlfn.XLOOKUP(A42,Unit_Codes[Unit Codes],Unit_Codes[Enrolment '# (29.04.24)],"",0)</f>
        <v/>
      </c>
      <c r="E42" t="str">
        <f t="shared" si="253"/>
        <v/>
      </c>
      <c r="F42" t="str">
        <f t="shared" si="254"/>
        <v/>
      </c>
      <c r="G42">
        <f>COUNTIF($F$3:F42,F42)</f>
        <v>6</v>
      </c>
      <c r="H42" s="52" t="str">
        <f t="shared" si="255"/>
        <v>6</v>
      </c>
      <c r="I42" s="5">
        <f t="shared" si="256"/>
        <v>0</v>
      </c>
      <c r="J42" s="5">
        <f t="shared" si="257"/>
        <v>0</v>
      </c>
      <c r="K42" s="10">
        <f t="shared" si="258"/>
        <v>0</v>
      </c>
      <c r="L42" s="10">
        <f t="shared" si="259"/>
        <v>0</v>
      </c>
      <c r="M42" s="14">
        <f t="shared" si="260"/>
        <v>0</v>
      </c>
      <c r="N42" s="14">
        <f t="shared" si="261"/>
        <v>0</v>
      </c>
      <c r="O42" s="16">
        <f t="shared" si="262"/>
        <v>0</v>
      </c>
      <c r="P42" s="16">
        <f t="shared" si="263"/>
        <v>0</v>
      </c>
      <c r="Q42" s="12">
        <f t="shared" si="264"/>
        <v>0</v>
      </c>
      <c r="R42" s="18">
        <f t="shared" si="265"/>
        <v>0</v>
      </c>
      <c r="S42" s="114"/>
      <c r="V42" s="4" t="str">
        <f t="shared" si="266"/>
        <v/>
      </c>
      <c r="X42" s="4">
        <f t="shared" si="267"/>
        <v>0</v>
      </c>
      <c r="Y42" s="20">
        <f t="shared" si="268"/>
        <v>0</v>
      </c>
      <c r="AA42" s="4">
        <f t="shared" si="269"/>
        <v>0</v>
      </c>
      <c r="AB42" s="4">
        <f t="shared" si="270"/>
        <v>0</v>
      </c>
      <c r="AD42" s="4">
        <f t="shared" si="271"/>
        <v>0</v>
      </c>
      <c r="AE42" s="4">
        <f t="shared" si="272"/>
        <v>0</v>
      </c>
      <c r="AG42" s="4">
        <f t="shared" si="273"/>
        <v>0</v>
      </c>
      <c r="AH42" s="4">
        <f t="shared" si="274"/>
        <v>0</v>
      </c>
      <c r="AI42" s="109"/>
      <c r="AJ42" s="4">
        <f t="shared" si="275"/>
        <v>0</v>
      </c>
      <c r="AK42" s="4">
        <f t="shared" si="276"/>
        <v>0</v>
      </c>
      <c r="AM42" s="4">
        <f t="shared" si="277"/>
        <v>0</v>
      </c>
      <c r="AN42" s="4">
        <f t="shared" si="278"/>
        <v>0</v>
      </c>
      <c r="AP42" s="4">
        <f t="shared" si="279"/>
        <v>0</v>
      </c>
      <c r="AQ42" s="4">
        <f t="shared" si="280"/>
        <v>0</v>
      </c>
      <c r="AS42" s="4">
        <f t="shared" si="281"/>
        <v>0</v>
      </c>
      <c r="AT42" s="4">
        <f t="shared" si="282"/>
        <v>0</v>
      </c>
      <c r="AV42" s="4">
        <f t="shared" si="283"/>
        <v>0</v>
      </c>
      <c r="AW42" s="4">
        <f t="shared" si="284"/>
        <v>0</v>
      </c>
      <c r="BA42" s="4">
        <f t="shared" si="285"/>
        <v>0</v>
      </c>
      <c r="BB42" s="4">
        <f t="shared" si="286"/>
        <v>0</v>
      </c>
      <c r="BF42" s="4">
        <f t="shared" si="287"/>
        <v>0</v>
      </c>
      <c r="BG42" s="4">
        <f t="shared" si="288"/>
        <v>0</v>
      </c>
      <c r="BI42" s="4">
        <f t="shared" si="289"/>
        <v>0</v>
      </c>
      <c r="BJ42" s="4">
        <f t="shared" si="290"/>
        <v>0</v>
      </c>
      <c r="BK42" s="111"/>
      <c r="BM42" s="4" t="str">
        <f>IF(ISNUMBER(BL42),_xlfn.XLOOKUP(A42,Unit_Codes[Unit Codes],Unit_Codes[CWS Hrs. Per Student],0),"")</f>
        <v/>
      </c>
      <c r="BN42" s="4">
        <f t="shared" si="291"/>
        <v>0</v>
      </c>
      <c r="BO42" s="20">
        <f t="shared" si="292"/>
        <v>0</v>
      </c>
      <c r="BQ42" s="20">
        <f t="shared" si="293"/>
        <v>0</v>
      </c>
    </row>
    <row r="43" spans="1:69" x14ac:dyDescent="0.25">
      <c r="B43" s="105" t="s">
        <v>221</v>
      </c>
      <c r="D43" t="str">
        <f>_xlfn.XLOOKUP(A43,Unit_Codes[Unit Codes],Unit_Codes[Enrolment '# (29.04.24)],"",0)</f>
        <v/>
      </c>
      <c r="E43" t="str">
        <f t="shared" si="253"/>
        <v/>
      </c>
      <c r="F43" t="str">
        <f t="shared" si="254"/>
        <v/>
      </c>
      <c r="G43">
        <f>COUNTIF($F$3:F43,F43)</f>
        <v>7</v>
      </c>
      <c r="H43" s="52" t="str">
        <f t="shared" si="255"/>
        <v>7</v>
      </c>
      <c r="I43" s="5">
        <f t="shared" si="256"/>
        <v>0</v>
      </c>
      <c r="J43" s="5">
        <f t="shared" si="257"/>
        <v>0</v>
      </c>
      <c r="K43" s="10">
        <f t="shared" si="258"/>
        <v>0</v>
      </c>
      <c r="L43" s="10">
        <f t="shared" si="259"/>
        <v>0</v>
      </c>
      <c r="M43" s="14">
        <f t="shared" si="260"/>
        <v>0</v>
      </c>
      <c r="N43" s="14">
        <f t="shared" si="261"/>
        <v>0</v>
      </c>
      <c r="O43" s="16">
        <f t="shared" si="262"/>
        <v>0</v>
      </c>
      <c r="P43" s="16">
        <f t="shared" si="263"/>
        <v>0</v>
      </c>
      <c r="Q43" s="12">
        <f t="shared" si="264"/>
        <v>0</v>
      </c>
      <c r="R43" s="18">
        <f t="shared" si="265"/>
        <v>0</v>
      </c>
      <c r="S43" s="114"/>
      <c r="V43" s="4" t="str">
        <f t="shared" si="266"/>
        <v/>
      </c>
      <c r="X43" s="4">
        <f t="shared" si="267"/>
        <v>0</v>
      </c>
      <c r="Y43" s="20">
        <f t="shared" si="268"/>
        <v>0</v>
      </c>
      <c r="AA43" s="4">
        <f t="shared" si="269"/>
        <v>0</v>
      </c>
      <c r="AB43" s="4">
        <f t="shared" si="270"/>
        <v>0</v>
      </c>
      <c r="AD43" s="4">
        <f t="shared" si="271"/>
        <v>0</v>
      </c>
      <c r="AE43" s="4">
        <f t="shared" si="272"/>
        <v>0</v>
      </c>
      <c r="AG43" s="4">
        <f t="shared" si="273"/>
        <v>0</v>
      </c>
      <c r="AH43" s="4">
        <f t="shared" si="274"/>
        <v>0</v>
      </c>
      <c r="AI43" s="109"/>
      <c r="AJ43" s="4">
        <f t="shared" si="275"/>
        <v>0</v>
      </c>
      <c r="AK43" s="4">
        <f t="shared" si="276"/>
        <v>0</v>
      </c>
      <c r="AM43" s="4">
        <f t="shared" si="277"/>
        <v>0</v>
      </c>
      <c r="AN43" s="4">
        <f t="shared" si="278"/>
        <v>0</v>
      </c>
      <c r="AP43" s="4">
        <f t="shared" si="279"/>
        <v>0</v>
      </c>
      <c r="AQ43" s="4">
        <f t="shared" si="280"/>
        <v>0</v>
      </c>
      <c r="AS43" s="4">
        <f t="shared" si="281"/>
        <v>0</v>
      </c>
      <c r="AT43" s="4">
        <f t="shared" si="282"/>
        <v>0</v>
      </c>
      <c r="AV43" s="4">
        <f t="shared" si="283"/>
        <v>0</v>
      </c>
      <c r="AW43" s="4">
        <f t="shared" si="284"/>
        <v>0</v>
      </c>
      <c r="BA43" s="4">
        <f t="shared" si="285"/>
        <v>0</v>
      </c>
      <c r="BB43" s="4">
        <f t="shared" si="286"/>
        <v>0</v>
      </c>
      <c r="BF43" s="4">
        <f t="shared" si="287"/>
        <v>0</v>
      </c>
      <c r="BG43" s="4">
        <f t="shared" si="288"/>
        <v>0</v>
      </c>
      <c r="BI43" s="4">
        <f t="shared" si="289"/>
        <v>0</v>
      </c>
      <c r="BJ43" s="4">
        <f t="shared" si="290"/>
        <v>0</v>
      </c>
      <c r="BK43" s="111"/>
      <c r="BM43" s="4" t="str">
        <f>IF(ISNUMBER(BL43),_xlfn.XLOOKUP(A43,Unit_Codes[Unit Codes],Unit_Codes[CWS Hrs. Per Student],0),"")</f>
        <v/>
      </c>
      <c r="BN43" s="4">
        <f t="shared" si="291"/>
        <v>0</v>
      </c>
      <c r="BO43" s="20">
        <f t="shared" si="292"/>
        <v>0</v>
      </c>
      <c r="BQ43" s="20">
        <f t="shared" si="293"/>
        <v>0</v>
      </c>
    </row>
    <row r="44" spans="1:69" x14ac:dyDescent="0.25">
      <c r="B44" s="105" t="s">
        <v>221</v>
      </c>
      <c r="D44" t="str">
        <f>_xlfn.XLOOKUP(A44,Unit_Codes[Unit Codes],Unit_Codes[Enrolment '# (29.04.24)],"",0)</f>
        <v/>
      </c>
      <c r="E44" t="str">
        <f t="shared" si="253"/>
        <v/>
      </c>
      <c r="F44" t="str">
        <f t="shared" si="254"/>
        <v/>
      </c>
      <c r="G44">
        <f>COUNTIF($F$3:F44,F44)</f>
        <v>8</v>
      </c>
      <c r="H44" s="52" t="str">
        <f t="shared" si="255"/>
        <v>8</v>
      </c>
      <c r="I44" s="5">
        <f t="shared" si="256"/>
        <v>0</v>
      </c>
      <c r="J44" s="5">
        <f t="shared" si="257"/>
        <v>0</v>
      </c>
      <c r="K44" s="10">
        <f t="shared" si="258"/>
        <v>0</v>
      </c>
      <c r="L44" s="10">
        <f t="shared" si="259"/>
        <v>0</v>
      </c>
      <c r="M44" s="14">
        <f t="shared" si="260"/>
        <v>0</v>
      </c>
      <c r="N44" s="14">
        <f t="shared" si="261"/>
        <v>0</v>
      </c>
      <c r="O44" s="16">
        <f t="shared" si="262"/>
        <v>0</v>
      </c>
      <c r="P44" s="16">
        <f t="shared" si="263"/>
        <v>0</v>
      </c>
      <c r="Q44" s="12">
        <f t="shared" si="264"/>
        <v>0</v>
      </c>
      <c r="R44" s="18">
        <f t="shared" si="265"/>
        <v>0</v>
      </c>
      <c r="S44" s="114"/>
      <c r="V44" s="4" t="str">
        <f t="shared" si="266"/>
        <v/>
      </c>
      <c r="X44" s="4">
        <f t="shared" si="267"/>
        <v>0</v>
      </c>
      <c r="Y44" s="20">
        <f t="shared" si="268"/>
        <v>0</v>
      </c>
      <c r="AA44" s="4">
        <f t="shared" si="269"/>
        <v>0</v>
      </c>
      <c r="AB44" s="4">
        <f t="shared" si="270"/>
        <v>0</v>
      </c>
      <c r="AD44" s="4">
        <f t="shared" si="271"/>
        <v>0</v>
      </c>
      <c r="AE44" s="4">
        <f t="shared" si="272"/>
        <v>0</v>
      </c>
      <c r="AG44" s="4">
        <f t="shared" si="273"/>
        <v>0</v>
      </c>
      <c r="AH44" s="4">
        <f t="shared" si="274"/>
        <v>0</v>
      </c>
      <c r="AI44" s="109"/>
      <c r="AJ44" s="4">
        <f t="shared" si="275"/>
        <v>0</v>
      </c>
      <c r="AK44" s="4">
        <f t="shared" si="276"/>
        <v>0</v>
      </c>
      <c r="AM44" s="4">
        <f t="shared" si="277"/>
        <v>0</v>
      </c>
      <c r="AN44" s="4">
        <f t="shared" si="278"/>
        <v>0</v>
      </c>
      <c r="AP44" s="4">
        <f t="shared" si="279"/>
        <v>0</v>
      </c>
      <c r="AQ44" s="4">
        <f t="shared" si="280"/>
        <v>0</v>
      </c>
      <c r="AS44" s="4">
        <f t="shared" si="281"/>
        <v>0</v>
      </c>
      <c r="AT44" s="4">
        <f t="shared" si="282"/>
        <v>0</v>
      </c>
      <c r="AV44" s="4">
        <f t="shared" si="283"/>
        <v>0</v>
      </c>
      <c r="AW44" s="4">
        <f t="shared" si="284"/>
        <v>0</v>
      </c>
      <c r="BA44" s="4">
        <f t="shared" si="285"/>
        <v>0</v>
      </c>
      <c r="BB44" s="4">
        <f t="shared" si="286"/>
        <v>0</v>
      </c>
      <c r="BF44" s="4">
        <f t="shared" si="287"/>
        <v>0</v>
      </c>
      <c r="BG44" s="4">
        <f t="shared" si="288"/>
        <v>0</v>
      </c>
      <c r="BI44" s="4">
        <f t="shared" si="289"/>
        <v>0</v>
      </c>
      <c r="BJ44" s="4">
        <f t="shared" si="290"/>
        <v>0</v>
      </c>
      <c r="BK44" s="111"/>
      <c r="BM44" s="4" t="str">
        <f>IF(ISNUMBER(BL44),_xlfn.XLOOKUP(A44,Unit_Codes[Unit Codes],Unit_Codes[CWS Hrs. Per Student],0),"")</f>
        <v/>
      </c>
      <c r="BN44" s="4">
        <f t="shared" si="291"/>
        <v>0</v>
      </c>
      <c r="BO44" s="20">
        <f t="shared" si="292"/>
        <v>0</v>
      </c>
      <c r="BQ44" s="20">
        <f t="shared" si="293"/>
        <v>0</v>
      </c>
    </row>
    <row r="45" spans="1:69" x14ac:dyDescent="0.25">
      <c r="B45" s="105" t="s">
        <v>221</v>
      </c>
      <c r="D45" t="str">
        <f>_xlfn.XLOOKUP(A45,Unit_Codes[Unit Codes],Unit_Codes[Enrolment '# (29.04.24)],"",0)</f>
        <v/>
      </c>
      <c r="E45" t="str">
        <f t="shared" si="253"/>
        <v/>
      </c>
      <c r="F45" t="str">
        <f t="shared" si="254"/>
        <v/>
      </c>
      <c r="G45">
        <f>COUNTIF($F$3:F45,F45)</f>
        <v>9</v>
      </c>
      <c r="H45" s="52" t="str">
        <f t="shared" si="255"/>
        <v>9</v>
      </c>
      <c r="I45" s="5">
        <f t="shared" si="256"/>
        <v>0</v>
      </c>
      <c r="J45" s="5">
        <f t="shared" si="257"/>
        <v>0</v>
      </c>
      <c r="K45" s="10">
        <f t="shared" si="258"/>
        <v>0</v>
      </c>
      <c r="L45" s="10">
        <f t="shared" si="259"/>
        <v>0</v>
      </c>
      <c r="M45" s="14">
        <f t="shared" si="260"/>
        <v>0</v>
      </c>
      <c r="N45" s="14">
        <f t="shared" si="261"/>
        <v>0</v>
      </c>
      <c r="O45" s="16">
        <f t="shared" si="262"/>
        <v>0</v>
      </c>
      <c r="P45" s="16">
        <f t="shared" si="263"/>
        <v>0</v>
      </c>
      <c r="Q45" s="12">
        <f t="shared" si="264"/>
        <v>0</v>
      </c>
      <c r="R45" s="18">
        <f t="shared" si="265"/>
        <v>0</v>
      </c>
      <c r="S45" s="114"/>
      <c r="V45" s="4" t="str">
        <f t="shared" si="266"/>
        <v/>
      </c>
      <c r="X45" s="4">
        <f t="shared" si="267"/>
        <v>0</v>
      </c>
      <c r="Y45" s="20">
        <f t="shared" si="268"/>
        <v>0</v>
      </c>
      <c r="AA45" s="4">
        <f t="shared" si="269"/>
        <v>0</v>
      </c>
      <c r="AB45" s="4">
        <f t="shared" si="270"/>
        <v>0</v>
      </c>
      <c r="AD45" s="4">
        <f t="shared" si="271"/>
        <v>0</v>
      </c>
      <c r="AE45" s="4">
        <f t="shared" si="272"/>
        <v>0</v>
      </c>
      <c r="AG45" s="4">
        <f t="shared" si="273"/>
        <v>0</v>
      </c>
      <c r="AH45" s="4">
        <f t="shared" si="274"/>
        <v>0</v>
      </c>
      <c r="AI45" s="109"/>
      <c r="AJ45" s="4">
        <f t="shared" si="275"/>
        <v>0</v>
      </c>
      <c r="AK45" s="4">
        <f t="shared" si="276"/>
        <v>0</v>
      </c>
      <c r="AM45" s="4">
        <f t="shared" si="277"/>
        <v>0</v>
      </c>
      <c r="AN45" s="4">
        <f t="shared" si="278"/>
        <v>0</v>
      </c>
      <c r="AP45" s="4">
        <f t="shared" si="279"/>
        <v>0</v>
      </c>
      <c r="AQ45" s="4">
        <f t="shared" si="280"/>
        <v>0</v>
      </c>
      <c r="AS45" s="4">
        <f t="shared" si="281"/>
        <v>0</v>
      </c>
      <c r="AT45" s="4">
        <f t="shared" si="282"/>
        <v>0</v>
      </c>
      <c r="AV45" s="4">
        <f t="shared" si="283"/>
        <v>0</v>
      </c>
      <c r="AW45" s="4">
        <f t="shared" si="284"/>
        <v>0</v>
      </c>
      <c r="BA45" s="4">
        <f t="shared" si="285"/>
        <v>0</v>
      </c>
      <c r="BB45" s="4">
        <f t="shared" si="286"/>
        <v>0</v>
      </c>
      <c r="BF45" s="4">
        <f t="shared" si="287"/>
        <v>0</v>
      </c>
      <c r="BG45" s="4">
        <f t="shared" si="288"/>
        <v>0</v>
      </c>
      <c r="BI45" s="4">
        <f t="shared" si="289"/>
        <v>0</v>
      </c>
      <c r="BJ45" s="4">
        <f t="shared" si="290"/>
        <v>0</v>
      </c>
      <c r="BK45" s="111"/>
      <c r="BM45" s="4" t="str">
        <f>IF(ISNUMBER(BL45),_xlfn.XLOOKUP(A45,Unit_Codes[Unit Codes],Unit_Codes[CWS Hrs. Per Student],0),"")</f>
        <v/>
      </c>
      <c r="BN45" s="4">
        <f t="shared" si="291"/>
        <v>0</v>
      </c>
      <c r="BO45" s="20">
        <f t="shared" si="292"/>
        <v>0</v>
      </c>
      <c r="BQ45" s="20">
        <f t="shared" si="293"/>
        <v>0</v>
      </c>
    </row>
    <row r="46" spans="1:69" x14ac:dyDescent="0.25">
      <c r="B46" s="105" t="s">
        <v>221</v>
      </c>
      <c r="D46" t="str">
        <f>_xlfn.XLOOKUP(A46,Unit_Codes[Unit Codes],Unit_Codes[Enrolment '# (29.04.24)],"",0)</f>
        <v/>
      </c>
      <c r="E46" t="str">
        <f t="shared" si="253"/>
        <v/>
      </c>
      <c r="F46" t="str">
        <f t="shared" si="254"/>
        <v/>
      </c>
      <c r="G46">
        <f>COUNTIF($F$3:F46,F46)</f>
        <v>10</v>
      </c>
      <c r="H46" s="52" t="str">
        <f t="shared" si="255"/>
        <v>10</v>
      </c>
      <c r="I46" s="5">
        <f t="shared" si="256"/>
        <v>0</v>
      </c>
      <c r="J46" s="5">
        <f t="shared" si="257"/>
        <v>0</v>
      </c>
      <c r="K46" s="10">
        <f t="shared" si="258"/>
        <v>0</v>
      </c>
      <c r="L46" s="10">
        <f t="shared" si="259"/>
        <v>0</v>
      </c>
      <c r="M46" s="14">
        <f t="shared" si="260"/>
        <v>0</v>
      </c>
      <c r="N46" s="14">
        <f t="shared" si="261"/>
        <v>0</v>
      </c>
      <c r="O46" s="16">
        <f t="shared" si="262"/>
        <v>0</v>
      </c>
      <c r="P46" s="16">
        <f t="shared" si="263"/>
        <v>0</v>
      </c>
      <c r="Q46" s="12">
        <f t="shared" si="264"/>
        <v>0</v>
      </c>
      <c r="R46" s="18">
        <f t="shared" si="265"/>
        <v>0</v>
      </c>
      <c r="S46" s="114"/>
      <c r="V46" s="4" t="str">
        <f t="shared" si="266"/>
        <v/>
      </c>
      <c r="X46" s="4">
        <f t="shared" si="267"/>
        <v>0</v>
      </c>
      <c r="Y46" s="20">
        <f t="shared" si="268"/>
        <v>0</v>
      </c>
      <c r="AA46" s="4">
        <f t="shared" si="269"/>
        <v>0</v>
      </c>
      <c r="AB46" s="4">
        <f t="shared" si="270"/>
        <v>0</v>
      </c>
      <c r="AD46" s="4">
        <f t="shared" si="271"/>
        <v>0</v>
      </c>
      <c r="AE46" s="4">
        <f t="shared" si="272"/>
        <v>0</v>
      </c>
      <c r="AG46" s="4">
        <f t="shared" si="273"/>
        <v>0</v>
      </c>
      <c r="AH46" s="4">
        <f t="shared" si="274"/>
        <v>0</v>
      </c>
      <c r="AI46" s="109"/>
      <c r="AJ46" s="4">
        <f t="shared" si="275"/>
        <v>0</v>
      </c>
      <c r="AK46" s="4">
        <f t="shared" si="276"/>
        <v>0</v>
      </c>
      <c r="AM46" s="4">
        <f t="shared" si="277"/>
        <v>0</v>
      </c>
      <c r="AN46" s="4">
        <f t="shared" si="278"/>
        <v>0</v>
      </c>
      <c r="AP46" s="4">
        <f t="shared" si="279"/>
        <v>0</v>
      </c>
      <c r="AQ46" s="4">
        <f t="shared" si="280"/>
        <v>0</v>
      </c>
      <c r="AS46" s="4">
        <f t="shared" si="281"/>
        <v>0</v>
      </c>
      <c r="AT46" s="4">
        <f t="shared" si="282"/>
        <v>0</v>
      </c>
      <c r="AV46" s="4">
        <f t="shared" si="283"/>
        <v>0</v>
      </c>
      <c r="AW46" s="4">
        <f t="shared" si="284"/>
        <v>0</v>
      </c>
      <c r="BA46" s="4">
        <f t="shared" si="285"/>
        <v>0</v>
      </c>
      <c r="BB46" s="4">
        <f t="shared" si="286"/>
        <v>0</v>
      </c>
      <c r="BF46" s="4">
        <f t="shared" si="287"/>
        <v>0</v>
      </c>
      <c r="BG46" s="4">
        <f t="shared" si="288"/>
        <v>0</v>
      </c>
      <c r="BI46" s="4">
        <f t="shared" si="289"/>
        <v>0</v>
      </c>
      <c r="BJ46" s="4">
        <f t="shared" si="290"/>
        <v>0</v>
      </c>
      <c r="BK46" s="111"/>
      <c r="BM46" s="4" t="str">
        <f>IF(ISNUMBER(BL46),_xlfn.XLOOKUP(A46,Unit_Codes[Unit Codes],Unit_Codes[CWS Hrs. Per Student],0),"")</f>
        <v/>
      </c>
      <c r="BN46" s="4">
        <f t="shared" si="291"/>
        <v>0</v>
      </c>
      <c r="BO46" s="20">
        <f t="shared" si="292"/>
        <v>0</v>
      </c>
      <c r="BQ46" s="20">
        <f t="shared" si="293"/>
        <v>0</v>
      </c>
    </row>
    <row r="47" spans="1:69" x14ac:dyDescent="0.25">
      <c r="B47" s="105" t="s">
        <v>221</v>
      </c>
      <c r="D47" t="str">
        <f>_xlfn.XLOOKUP(A47,Unit_Codes[Unit Codes],Unit_Codes[Enrolment '# (29.04.24)],"",0)</f>
        <v/>
      </c>
      <c r="E47" t="str">
        <f t="shared" si="253"/>
        <v/>
      </c>
      <c r="F47" t="str">
        <f t="shared" si="254"/>
        <v/>
      </c>
      <c r="G47">
        <f>COUNTIF($F$3:F47,F47)</f>
        <v>11</v>
      </c>
      <c r="H47" s="52" t="str">
        <f t="shared" si="255"/>
        <v>11</v>
      </c>
      <c r="I47" s="5">
        <f t="shared" si="256"/>
        <v>0</v>
      </c>
      <c r="J47" s="5">
        <f t="shared" si="257"/>
        <v>0</v>
      </c>
      <c r="K47" s="10">
        <f t="shared" si="258"/>
        <v>0</v>
      </c>
      <c r="L47" s="10">
        <f t="shared" si="259"/>
        <v>0</v>
      </c>
      <c r="M47" s="14">
        <f t="shared" si="260"/>
        <v>0</v>
      </c>
      <c r="N47" s="14">
        <f t="shared" si="261"/>
        <v>0</v>
      </c>
      <c r="O47" s="16">
        <f t="shared" si="262"/>
        <v>0</v>
      </c>
      <c r="P47" s="16">
        <f t="shared" si="263"/>
        <v>0</v>
      </c>
      <c r="Q47" s="12">
        <f t="shared" si="264"/>
        <v>0</v>
      </c>
      <c r="R47" s="18">
        <f t="shared" si="265"/>
        <v>0</v>
      </c>
      <c r="S47" s="114"/>
      <c r="V47" s="4" t="str">
        <f t="shared" si="266"/>
        <v/>
      </c>
      <c r="X47" s="4">
        <f t="shared" si="267"/>
        <v>0</v>
      </c>
      <c r="Y47" s="20">
        <f t="shared" si="268"/>
        <v>0</v>
      </c>
      <c r="AA47" s="4">
        <f t="shared" si="269"/>
        <v>0</v>
      </c>
      <c r="AB47" s="4">
        <f t="shared" si="270"/>
        <v>0</v>
      </c>
      <c r="AD47" s="4">
        <f t="shared" si="271"/>
        <v>0</v>
      </c>
      <c r="AE47" s="4">
        <f t="shared" si="272"/>
        <v>0</v>
      </c>
      <c r="AG47" s="4">
        <f t="shared" si="273"/>
        <v>0</v>
      </c>
      <c r="AH47" s="4">
        <f t="shared" si="274"/>
        <v>0</v>
      </c>
      <c r="AI47" s="109"/>
      <c r="AJ47" s="4">
        <f t="shared" si="275"/>
        <v>0</v>
      </c>
      <c r="AK47" s="4">
        <f t="shared" si="276"/>
        <v>0</v>
      </c>
      <c r="AM47" s="4">
        <f t="shared" si="277"/>
        <v>0</v>
      </c>
      <c r="AN47" s="4">
        <f t="shared" si="278"/>
        <v>0</v>
      </c>
      <c r="AP47" s="4">
        <f t="shared" si="279"/>
        <v>0</v>
      </c>
      <c r="AQ47" s="4">
        <f t="shared" si="280"/>
        <v>0</v>
      </c>
      <c r="AS47" s="4">
        <f t="shared" si="281"/>
        <v>0</v>
      </c>
      <c r="AT47" s="4">
        <f t="shared" si="282"/>
        <v>0</v>
      </c>
      <c r="AV47" s="4">
        <f t="shared" si="283"/>
        <v>0</v>
      </c>
      <c r="AW47" s="4">
        <f t="shared" si="284"/>
        <v>0</v>
      </c>
      <c r="BA47" s="4">
        <f t="shared" si="285"/>
        <v>0</v>
      </c>
      <c r="BB47" s="4">
        <f t="shared" si="286"/>
        <v>0</v>
      </c>
      <c r="BF47" s="4">
        <f t="shared" si="287"/>
        <v>0</v>
      </c>
      <c r="BG47" s="4">
        <f t="shared" si="288"/>
        <v>0</v>
      </c>
      <c r="BI47" s="4">
        <f t="shared" si="289"/>
        <v>0</v>
      </c>
      <c r="BJ47" s="4">
        <f t="shared" si="290"/>
        <v>0</v>
      </c>
      <c r="BK47" s="111"/>
      <c r="BM47" s="4" t="str">
        <f>IF(ISNUMBER(BL47),_xlfn.XLOOKUP(A47,Unit_Codes[Unit Codes],Unit_Codes[CWS Hrs. Per Student],0),"")</f>
        <v/>
      </c>
      <c r="BN47" s="4">
        <f t="shared" si="291"/>
        <v>0</v>
      </c>
      <c r="BO47" s="20">
        <f t="shared" si="292"/>
        <v>0</v>
      </c>
      <c r="BQ47" s="20">
        <f t="shared" si="293"/>
        <v>0</v>
      </c>
    </row>
    <row r="48" spans="1:69" x14ac:dyDescent="0.25">
      <c r="B48" s="105" t="s">
        <v>221</v>
      </c>
      <c r="D48" t="str">
        <f>_xlfn.XLOOKUP(A48,Unit_Codes[Unit Codes],Unit_Codes[Enrolment '# (29.04.24)],"",0)</f>
        <v/>
      </c>
      <c r="E48" t="str">
        <f t="shared" si="253"/>
        <v/>
      </c>
      <c r="F48" t="str">
        <f t="shared" si="254"/>
        <v/>
      </c>
      <c r="G48">
        <f>COUNTIF($F$3:F48,F48)</f>
        <v>12</v>
      </c>
      <c r="H48" s="52" t="str">
        <f t="shared" si="255"/>
        <v>12</v>
      </c>
      <c r="I48" s="5">
        <f t="shared" si="256"/>
        <v>0</v>
      </c>
      <c r="J48" s="5">
        <f t="shared" si="257"/>
        <v>0</v>
      </c>
      <c r="K48" s="10">
        <f t="shared" si="258"/>
        <v>0</v>
      </c>
      <c r="L48" s="10">
        <f t="shared" si="259"/>
        <v>0</v>
      </c>
      <c r="M48" s="14">
        <f t="shared" si="260"/>
        <v>0</v>
      </c>
      <c r="N48" s="14">
        <f t="shared" si="261"/>
        <v>0</v>
      </c>
      <c r="O48" s="16">
        <f t="shared" si="262"/>
        <v>0</v>
      </c>
      <c r="P48" s="16">
        <f t="shared" si="263"/>
        <v>0</v>
      </c>
      <c r="Q48" s="12">
        <f t="shared" si="264"/>
        <v>0</v>
      </c>
      <c r="R48" s="18">
        <f t="shared" si="265"/>
        <v>0</v>
      </c>
      <c r="S48" s="114"/>
      <c r="V48" s="4" t="str">
        <f t="shared" si="266"/>
        <v/>
      </c>
      <c r="X48" s="4">
        <f t="shared" si="267"/>
        <v>0</v>
      </c>
      <c r="Y48" s="20">
        <f t="shared" si="268"/>
        <v>0</v>
      </c>
      <c r="AA48" s="4">
        <f t="shared" si="269"/>
        <v>0</v>
      </c>
      <c r="AB48" s="4">
        <f t="shared" si="270"/>
        <v>0</v>
      </c>
      <c r="AD48" s="4">
        <f t="shared" si="271"/>
        <v>0</v>
      </c>
      <c r="AE48" s="4">
        <f t="shared" si="272"/>
        <v>0</v>
      </c>
      <c r="AG48" s="4">
        <f t="shared" si="273"/>
        <v>0</v>
      </c>
      <c r="AH48" s="4">
        <f t="shared" si="274"/>
        <v>0</v>
      </c>
      <c r="AI48" s="109"/>
      <c r="AJ48" s="4">
        <f t="shared" si="275"/>
        <v>0</v>
      </c>
      <c r="AK48" s="4">
        <f t="shared" si="276"/>
        <v>0</v>
      </c>
      <c r="AM48" s="4">
        <f t="shared" si="277"/>
        <v>0</v>
      </c>
      <c r="AN48" s="4">
        <f t="shared" si="278"/>
        <v>0</v>
      </c>
      <c r="AP48" s="4">
        <f t="shared" si="279"/>
        <v>0</v>
      </c>
      <c r="AQ48" s="4">
        <f t="shared" si="280"/>
        <v>0</v>
      </c>
      <c r="AS48" s="4">
        <f t="shared" si="281"/>
        <v>0</v>
      </c>
      <c r="AT48" s="4">
        <f t="shared" si="282"/>
        <v>0</v>
      </c>
      <c r="AV48" s="4">
        <f t="shared" si="283"/>
        <v>0</v>
      </c>
      <c r="AW48" s="4">
        <f t="shared" si="284"/>
        <v>0</v>
      </c>
      <c r="BA48" s="4">
        <f t="shared" si="285"/>
        <v>0</v>
      </c>
      <c r="BB48" s="4">
        <f t="shared" si="286"/>
        <v>0</v>
      </c>
      <c r="BF48" s="4">
        <f t="shared" si="287"/>
        <v>0</v>
      </c>
      <c r="BG48" s="4">
        <f t="shared" si="288"/>
        <v>0</v>
      </c>
      <c r="BI48" s="4">
        <f t="shared" si="289"/>
        <v>0</v>
      </c>
      <c r="BJ48" s="4">
        <f t="shared" si="290"/>
        <v>0</v>
      </c>
      <c r="BK48" s="111"/>
      <c r="BM48" s="4" t="str">
        <f>IF(ISNUMBER(BL48),_xlfn.XLOOKUP(A48,Unit_Codes[Unit Codes],Unit_Codes[CWS Hrs. Per Student],0),"")</f>
        <v/>
      </c>
      <c r="BN48" s="4">
        <f t="shared" si="291"/>
        <v>0</v>
      </c>
      <c r="BO48" s="20">
        <f t="shared" si="292"/>
        <v>0</v>
      </c>
      <c r="BQ48" s="20">
        <f t="shared" si="293"/>
        <v>0</v>
      </c>
    </row>
    <row r="49" spans="2:69" x14ac:dyDescent="0.25">
      <c r="B49" s="105" t="s">
        <v>221</v>
      </c>
      <c r="D49" t="str">
        <f>_xlfn.XLOOKUP(A49,Unit_Codes[Unit Codes],Unit_Codes[Enrolment '# (29.04.24)],"",0)</f>
        <v/>
      </c>
      <c r="E49" t="str">
        <f t="shared" si="253"/>
        <v/>
      </c>
      <c r="F49" t="str">
        <f t="shared" si="254"/>
        <v/>
      </c>
      <c r="G49">
        <f>COUNTIF($F$3:F49,F49)</f>
        <v>13</v>
      </c>
      <c r="H49" s="52" t="str">
        <f t="shared" si="255"/>
        <v>13</v>
      </c>
      <c r="I49" s="5">
        <f t="shared" si="256"/>
        <v>0</v>
      </c>
      <c r="J49" s="5">
        <f t="shared" si="257"/>
        <v>0</v>
      </c>
      <c r="K49" s="10">
        <f t="shared" si="258"/>
        <v>0</v>
      </c>
      <c r="L49" s="10">
        <f t="shared" si="259"/>
        <v>0</v>
      </c>
      <c r="M49" s="14">
        <f t="shared" si="260"/>
        <v>0</v>
      </c>
      <c r="N49" s="14">
        <f t="shared" si="261"/>
        <v>0</v>
      </c>
      <c r="O49" s="16">
        <f t="shared" si="262"/>
        <v>0</v>
      </c>
      <c r="P49" s="16">
        <f t="shared" si="263"/>
        <v>0</v>
      </c>
      <c r="Q49" s="12">
        <f t="shared" si="264"/>
        <v>0</v>
      </c>
      <c r="R49" s="18">
        <f t="shared" si="265"/>
        <v>0</v>
      </c>
      <c r="S49" s="114"/>
      <c r="V49" s="4" t="str">
        <f t="shared" si="266"/>
        <v/>
      </c>
      <c r="X49" s="4">
        <f t="shared" si="267"/>
        <v>0</v>
      </c>
      <c r="Y49" s="20">
        <f t="shared" si="268"/>
        <v>0</v>
      </c>
      <c r="AA49" s="4">
        <f t="shared" si="269"/>
        <v>0</v>
      </c>
      <c r="AB49" s="4">
        <f t="shared" si="270"/>
        <v>0</v>
      </c>
      <c r="AD49" s="4">
        <f t="shared" si="271"/>
        <v>0</v>
      </c>
      <c r="AE49" s="4">
        <f t="shared" si="272"/>
        <v>0</v>
      </c>
      <c r="AG49" s="4">
        <f t="shared" si="273"/>
        <v>0</v>
      </c>
      <c r="AH49" s="4">
        <f t="shared" si="274"/>
        <v>0</v>
      </c>
      <c r="AI49" s="109"/>
      <c r="AJ49" s="4">
        <f t="shared" si="275"/>
        <v>0</v>
      </c>
      <c r="AK49" s="4">
        <f t="shared" si="276"/>
        <v>0</v>
      </c>
      <c r="AM49" s="4">
        <f t="shared" si="277"/>
        <v>0</v>
      </c>
      <c r="AN49" s="4">
        <f t="shared" si="278"/>
        <v>0</v>
      </c>
      <c r="AP49" s="4">
        <f t="shared" si="279"/>
        <v>0</v>
      </c>
      <c r="AQ49" s="4">
        <f t="shared" si="280"/>
        <v>0</v>
      </c>
      <c r="AS49" s="4">
        <f t="shared" si="281"/>
        <v>0</v>
      </c>
      <c r="AT49" s="4">
        <f t="shared" si="282"/>
        <v>0</v>
      </c>
      <c r="AV49" s="4">
        <f t="shared" si="283"/>
        <v>0</v>
      </c>
      <c r="AW49" s="4">
        <f t="shared" si="284"/>
        <v>0</v>
      </c>
      <c r="BA49" s="4">
        <f t="shared" si="285"/>
        <v>0</v>
      </c>
      <c r="BB49" s="4">
        <f t="shared" si="286"/>
        <v>0</v>
      </c>
      <c r="BF49" s="4">
        <f t="shared" si="287"/>
        <v>0</v>
      </c>
      <c r="BG49" s="4">
        <f t="shared" si="288"/>
        <v>0</v>
      </c>
      <c r="BI49" s="4">
        <f t="shared" si="289"/>
        <v>0</v>
      </c>
      <c r="BJ49" s="4">
        <f t="shared" si="290"/>
        <v>0</v>
      </c>
      <c r="BK49" s="111"/>
      <c r="BM49" s="4" t="str">
        <f>IF(ISNUMBER(BL49),_xlfn.XLOOKUP(A49,Unit_Codes[Unit Codes],Unit_Codes[CWS Hrs. Per Student],0),"")</f>
        <v/>
      </c>
      <c r="BN49" s="4">
        <f t="shared" si="291"/>
        <v>0</v>
      </c>
      <c r="BO49" s="20">
        <f t="shared" si="292"/>
        <v>0</v>
      </c>
      <c r="BQ49" s="20">
        <f t="shared" si="293"/>
        <v>0</v>
      </c>
    </row>
    <row r="50" spans="2:69" x14ac:dyDescent="0.25">
      <c r="B50" s="105" t="s">
        <v>221</v>
      </c>
      <c r="D50" t="str">
        <f>_xlfn.XLOOKUP(A50,Unit_Codes[Unit Codes],Unit_Codes[Enrolment '# (29.04.24)],"",0)</f>
        <v/>
      </c>
      <c r="E50" t="str">
        <f t="shared" si="253"/>
        <v/>
      </c>
      <c r="F50" t="str">
        <f t="shared" si="254"/>
        <v/>
      </c>
      <c r="G50">
        <f>COUNTIF($F$3:F50,F50)</f>
        <v>14</v>
      </c>
      <c r="H50" s="52" t="str">
        <f t="shared" si="255"/>
        <v>14</v>
      </c>
      <c r="I50" s="5">
        <f t="shared" si="256"/>
        <v>0</v>
      </c>
      <c r="J50" s="5">
        <f t="shared" si="257"/>
        <v>0</v>
      </c>
      <c r="K50" s="10">
        <f t="shared" si="258"/>
        <v>0</v>
      </c>
      <c r="L50" s="10">
        <f t="shared" si="259"/>
        <v>0</v>
      </c>
      <c r="M50" s="14">
        <f t="shared" si="260"/>
        <v>0</v>
      </c>
      <c r="N50" s="14">
        <f t="shared" si="261"/>
        <v>0</v>
      </c>
      <c r="O50" s="16">
        <f t="shared" si="262"/>
        <v>0</v>
      </c>
      <c r="P50" s="16">
        <f t="shared" si="263"/>
        <v>0</v>
      </c>
      <c r="Q50" s="12">
        <f t="shared" si="264"/>
        <v>0</v>
      </c>
      <c r="R50" s="18">
        <f t="shared" si="265"/>
        <v>0</v>
      </c>
      <c r="S50" s="114"/>
      <c r="V50" s="4" t="str">
        <f t="shared" si="266"/>
        <v/>
      </c>
      <c r="X50" s="4">
        <f t="shared" si="267"/>
        <v>0</v>
      </c>
      <c r="Y50" s="20">
        <f t="shared" si="268"/>
        <v>0</v>
      </c>
      <c r="AA50" s="4">
        <f t="shared" si="269"/>
        <v>0</v>
      </c>
      <c r="AB50" s="4">
        <f t="shared" si="270"/>
        <v>0</v>
      </c>
      <c r="AD50" s="4">
        <f t="shared" si="271"/>
        <v>0</v>
      </c>
      <c r="AE50" s="4">
        <f t="shared" si="272"/>
        <v>0</v>
      </c>
      <c r="AG50" s="4">
        <f t="shared" si="273"/>
        <v>0</v>
      </c>
      <c r="AH50" s="4">
        <f t="shared" si="274"/>
        <v>0</v>
      </c>
      <c r="AI50" s="109"/>
      <c r="AJ50" s="4">
        <f t="shared" si="275"/>
        <v>0</v>
      </c>
      <c r="AK50" s="4">
        <f t="shared" si="276"/>
        <v>0</v>
      </c>
      <c r="AM50" s="4">
        <f t="shared" si="277"/>
        <v>0</v>
      </c>
      <c r="AN50" s="4">
        <f t="shared" si="278"/>
        <v>0</v>
      </c>
      <c r="AP50" s="4">
        <f t="shared" si="279"/>
        <v>0</v>
      </c>
      <c r="AQ50" s="4">
        <f t="shared" si="280"/>
        <v>0</v>
      </c>
      <c r="AS50" s="4">
        <f t="shared" si="281"/>
        <v>0</v>
      </c>
      <c r="AT50" s="4">
        <f t="shared" si="282"/>
        <v>0</v>
      </c>
      <c r="AV50" s="4">
        <f t="shared" si="283"/>
        <v>0</v>
      </c>
      <c r="AW50" s="4">
        <f t="shared" si="284"/>
        <v>0</v>
      </c>
      <c r="BA50" s="4">
        <f t="shared" si="285"/>
        <v>0</v>
      </c>
      <c r="BB50" s="4">
        <f t="shared" si="286"/>
        <v>0</v>
      </c>
      <c r="BF50" s="4">
        <f t="shared" si="287"/>
        <v>0</v>
      </c>
      <c r="BG50" s="4">
        <f t="shared" si="288"/>
        <v>0</v>
      </c>
      <c r="BI50" s="4">
        <f t="shared" si="289"/>
        <v>0</v>
      </c>
      <c r="BJ50" s="4">
        <f t="shared" si="290"/>
        <v>0</v>
      </c>
      <c r="BK50" s="111"/>
      <c r="BM50" s="4" t="str">
        <f>IF(ISNUMBER(BL50),_xlfn.XLOOKUP(A50,Unit_Codes[Unit Codes],Unit_Codes[CWS Hrs. Per Student],0),"")</f>
        <v/>
      </c>
      <c r="BN50" s="4">
        <f t="shared" si="291"/>
        <v>0</v>
      </c>
      <c r="BO50" s="20">
        <f t="shared" si="292"/>
        <v>0</v>
      </c>
      <c r="BQ50" s="20">
        <f t="shared" si="293"/>
        <v>0</v>
      </c>
    </row>
    <row r="51" spans="2:69" x14ac:dyDescent="0.25">
      <c r="B51" s="105" t="s">
        <v>221</v>
      </c>
      <c r="D51" t="str">
        <f>_xlfn.XLOOKUP(A51,Unit_Codes[Unit Codes],Unit_Codes[Enrolment '# (29.04.24)],"",0)</f>
        <v/>
      </c>
      <c r="E51" t="str">
        <f t="shared" si="253"/>
        <v/>
      </c>
      <c r="F51" t="str">
        <f t="shared" si="254"/>
        <v/>
      </c>
      <c r="G51">
        <f>COUNTIF($F$3:F51,F51)</f>
        <v>15</v>
      </c>
      <c r="H51" s="52" t="str">
        <f t="shared" si="255"/>
        <v>15</v>
      </c>
      <c r="I51" s="5">
        <f t="shared" si="256"/>
        <v>0</v>
      </c>
      <c r="J51" s="5">
        <f t="shared" si="257"/>
        <v>0</v>
      </c>
      <c r="K51" s="10">
        <f t="shared" si="258"/>
        <v>0</v>
      </c>
      <c r="L51" s="10">
        <f t="shared" si="259"/>
        <v>0</v>
      </c>
      <c r="M51" s="14">
        <f t="shared" si="260"/>
        <v>0</v>
      </c>
      <c r="N51" s="14">
        <f t="shared" si="261"/>
        <v>0</v>
      </c>
      <c r="O51" s="16">
        <f t="shared" si="262"/>
        <v>0</v>
      </c>
      <c r="P51" s="16">
        <f t="shared" si="263"/>
        <v>0</v>
      </c>
      <c r="Q51" s="12">
        <f t="shared" si="264"/>
        <v>0</v>
      </c>
      <c r="R51" s="18">
        <f t="shared" si="265"/>
        <v>0</v>
      </c>
      <c r="S51" s="114"/>
      <c r="V51" s="4" t="str">
        <f t="shared" si="266"/>
        <v/>
      </c>
      <c r="X51" s="4">
        <f t="shared" si="267"/>
        <v>0</v>
      </c>
      <c r="Y51" s="20">
        <f t="shared" si="268"/>
        <v>0</v>
      </c>
      <c r="AA51" s="4">
        <f t="shared" si="269"/>
        <v>0</v>
      </c>
      <c r="AB51" s="4">
        <f t="shared" si="270"/>
        <v>0</v>
      </c>
      <c r="AD51" s="4">
        <f t="shared" si="271"/>
        <v>0</v>
      </c>
      <c r="AE51" s="4">
        <f t="shared" si="272"/>
        <v>0</v>
      </c>
      <c r="AG51" s="4">
        <f t="shared" si="273"/>
        <v>0</v>
      </c>
      <c r="AH51" s="4">
        <f t="shared" si="274"/>
        <v>0</v>
      </c>
      <c r="AI51" s="109"/>
      <c r="AJ51" s="4">
        <f t="shared" si="275"/>
        <v>0</v>
      </c>
      <c r="AK51" s="4">
        <f t="shared" si="276"/>
        <v>0</v>
      </c>
      <c r="AM51" s="4">
        <f t="shared" si="277"/>
        <v>0</v>
      </c>
      <c r="AN51" s="4">
        <f t="shared" si="278"/>
        <v>0</v>
      </c>
      <c r="AP51" s="4">
        <f t="shared" si="279"/>
        <v>0</v>
      </c>
      <c r="AQ51" s="4">
        <f t="shared" si="280"/>
        <v>0</v>
      </c>
      <c r="AS51" s="4">
        <f t="shared" si="281"/>
        <v>0</v>
      </c>
      <c r="AT51" s="4">
        <f t="shared" si="282"/>
        <v>0</v>
      </c>
      <c r="AV51" s="4">
        <f t="shared" si="283"/>
        <v>0</v>
      </c>
      <c r="AW51" s="4">
        <f t="shared" si="284"/>
        <v>0</v>
      </c>
      <c r="BA51" s="4">
        <f t="shared" si="285"/>
        <v>0</v>
      </c>
      <c r="BB51" s="4">
        <f t="shared" si="286"/>
        <v>0</v>
      </c>
      <c r="BF51" s="4">
        <f t="shared" si="287"/>
        <v>0</v>
      </c>
      <c r="BG51" s="4">
        <f t="shared" si="288"/>
        <v>0</v>
      </c>
      <c r="BI51" s="4">
        <f t="shared" si="289"/>
        <v>0</v>
      </c>
      <c r="BJ51" s="4">
        <f t="shared" si="290"/>
        <v>0</v>
      </c>
      <c r="BK51" s="111"/>
      <c r="BM51" s="4" t="str">
        <f>IF(ISNUMBER(BL51),_xlfn.XLOOKUP(A51,Unit_Codes[Unit Codes],Unit_Codes[CWS Hrs. Per Student],0),"")</f>
        <v/>
      </c>
      <c r="BN51" s="4">
        <f t="shared" si="291"/>
        <v>0</v>
      </c>
      <c r="BO51" s="20">
        <f t="shared" si="292"/>
        <v>0</v>
      </c>
      <c r="BQ51" s="20">
        <f t="shared" si="293"/>
        <v>0</v>
      </c>
    </row>
    <row r="52" spans="2:69" x14ac:dyDescent="0.25">
      <c r="B52" s="105" t="s">
        <v>221</v>
      </c>
      <c r="D52" t="str">
        <f>_xlfn.XLOOKUP(A52,Unit_Codes[Unit Codes],Unit_Codes[Enrolment '# (29.04.24)],"",0)</f>
        <v/>
      </c>
      <c r="E52" t="str">
        <f t="shared" si="253"/>
        <v/>
      </c>
      <c r="F52" t="str">
        <f t="shared" si="254"/>
        <v/>
      </c>
      <c r="G52">
        <f>COUNTIF($F$3:F52,F52)</f>
        <v>16</v>
      </c>
      <c r="H52" s="52" t="str">
        <f t="shared" si="255"/>
        <v>16</v>
      </c>
      <c r="I52" s="5">
        <f t="shared" si="256"/>
        <v>0</v>
      </c>
      <c r="J52" s="5">
        <f t="shared" si="257"/>
        <v>0</v>
      </c>
      <c r="K52" s="10">
        <f t="shared" si="258"/>
        <v>0</v>
      </c>
      <c r="L52" s="10">
        <f t="shared" si="259"/>
        <v>0</v>
      </c>
      <c r="M52" s="14">
        <f t="shared" si="260"/>
        <v>0</v>
      </c>
      <c r="N52" s="14">
        <f t="shared" si="261"/>
        <v>0</v>
      </c>
      <c r="O52" s="16">
        <f t="shared" si="262"/>
        <v>0</v>
      </c>
      <c r="P52" s="16">
        <f t="shared" si="263"/>
        <v>0</v>
      </c>
      <c r="Q52" s="12">
        <f t="shared" si="264"/>
        <v>0</v>
      </c>
      <c r="R52" s="18">
        <f t="shared" si="265"/>
        <v>0</v>
      </c>
      <c r="S52" s="114"/>
      <c r="V52" s="4" t="str">
        <f t="shared" si="266"/>
        <v/>
      </c>
      <c r="X52" s="4">
        <f t="shared" si="267"/>
        <v>0</v>
      </c>
      <c r="Y52" s="20">
        <f t="shared" si="268"/>
        <v>0</v>
      </c>
      <c r="AA52" s="4">
        <f t="shared" si="269"/>
        <v>0</v>
      </c>
      <c r="AB52" s="4">
        <f t="shared" si="270"/>
        <v>0</v>
      </c>
      <c r="AD52" s="4">
        <f t="shared" si="271"/>
        <v>0</v>
      </c>
      <c r="AE52" s="4">
        <f t="shared" si="272"/>
        <v>0</v>
      </c>
      <c r="AG52" s="4">
        <f t="shared" si="273"/>
        <v>0</v>
      </c>
      <c r="AH52" s="4">
        <f t="shared" si="274"/>
        <v>0</v>
      </c>
      <c r="AI52" s="109"/>
      <c r="AJ52" s="4">
        <f t="shared" si="275"/>
        <v>0</v>
      </c>
      <c r="AK52" s="4">
        <f t="shared" si="276"/>
        <v>0</v>
      </c>
      <c r="AM52" s="4">
        <f t="shared" si="277"/>
        <v>0</v>
      </c>
      <c r="AN52" s="4">
        <f t="shared" si="278"/>
        <v>0</v>
      </c>
      <c r="AP52" s="4">
        <f t="shared" si="279"/>
        <v>0</v>
      </c>
      <c r="AQ52" s="4">
        <f t="shared" si="280"/>
        <v>0</v>
      </c>
      <c r="AS52" s="4">
        <f t="shared" si="281"/>
        <v>0</v>
      </c>
      <c r="AT52" s="4">
        <f t="shared" si="282"/>
        <v>0</v>
      </c>
      <c r="AV52" s="4">
        <f t="shared" si="283"/>
        <v>0</v>
      </c>
      <c r="AW52" s="4">
        <f t="shared" si="284"/>
        <v>0</v>
      </c>
      <c r="BA52" s="4">
        <f t="shared" si="285"/>
        <v>0</v>
      </c>
      <c r="BB52" s="4">
        <f t="shared" si="286"/>
        <v>0</v>
      </c>
      <c r="BF52" s="4">
        <f t="shared" si="287"/>
        <v>0</v>
      </c>
      <c r="BG52" s="4">
        <f t="shared" si="288"/>
        <v>0</v>
      </c>
      <c r="BI52" s="4">
        <f t="shared" si="289"/>
        <v>0</v>
      </c>
      <c r="BJ52" s="4">
        <f t="shared" si="290"/>
        <v>0</v>
      </c>
      <c r="BK52" s="111"/>
      <c r="BM52" s="4" t="str">
        <f>IF(ISNUMBER(BL52),_xlfn.XLOOKUP(A52,Unit_Codes[Unit Codes],Unit_Codes[CWS Hrs. Per Student],0),"")</f>
        <v/>
      </c>
      <c r="BN52" s="4">
        <f t="shared" si="291"/>
        <v>0</v>
      </c>
      <c r="BO52" s="20">
        <f t="shared" si="292"/>
        <v>0</v>
      </c>
      <c r="BQ52" s="20">
        <f t="shared" si="293"/>
        <v>0</v>
      </c>
    </row>
    <row r="53" spans="2:69" x14ac:dyDescent="0.25">
      <c r="B53" s="105" t="s">
        <v>221</v>
      </c>
      <c r="D53" t="str">
        <f>_xlfn.XLOOKUP(A53,Unit_Codes[Unit Codes],Unit_Codes[Enrolment '# (29.04.24)],"",0)</f>
        <v/>
      </c>
      <c r="E53" t="str">
        <f t="shared" si="253"/>
        <v/>
      </c>
      <c r="F53" t="str">
        <f t="shared" si="254"/>
        <v/>
      </c>
      <c r="G53">
        <f>COUNTIF($F$3:F53,F53)</f>
        <v>17</v>
      </c>
      <c r="H53" s="52" t="str">
        <f t="shared" si="255"/>
        <v>17</v>
      </c>
      <c r="I53" s="5">
        <f t="shared" si="256"/>
        <v>0</v>
      </c>
      <c r="J53" s="5">
        <f t="shared" si="257"/>
        <v>0</v>
      </c>
      <c r="K53" s="10">
        <f t="shared" si="258"/>
        <v>0</v>
      </c>
      <c r="L53" s="10">
        <f t="shared" si="259"/>
        <v>0</v>
      </c>
      <c r="M53" s="14">
        <f t="shared" si="260"/>
        <v>0</v>
      </c>
      <c r="N53" s="14">
        <f t="shared" si="261"/>
        <v>0</v>
      </c>
      <c r="O53" s="16">
        <f t="shared" si="262"/>
        <v>0</v>
      </c>
      <c r="P53" s="16">
        <f t="shared" si="263"/>
        <v>0</v>
      </c>
      <c r="Q53" s="12">
        <f t="shared" si="264"/>
        <v>0</v>
      </c>
      <c r="R53" s="18">
        <f t="shared" si="265"/>
        <v>0</v>
      </c>
      <c r="S53" s="114"/>
      <c r="V53" s="4" t="str">
        <f t="shared" si="266"/>
        <v/>
      </c>
      <c r="X53" s="4">
        <f t="shared" si="267"/>
        <v>0</v>
      </c>
      <c r="Y53" s="20">
        <f t="shared" si="268"/>
        <v>0</v>
      </c>
      <c r="AA53" s="4">
        <f t="shared" si="269"/>
        <v>0</v>
      </c>
      <c r="AB53" s="4">
        <f t="shared" si="270"/>
        <v>0</v>
      </c>
      <c r="AD53" s="4">
        <f t="shared" si="271"/>
        <v>0</v>
      </c>
      <c r="AE53" s="4">
        <f t="shared" si="272"/>
        <v>0</v>
      </c>
      <c r="AG53" s="4">
        <f t="shared" si="273"/>
        <v>0</v>
      </c>
      <c r="AH53" s="4">
        <f t="shared" si="274"/>
        <v>0</v>
      </c>
      <c r="AI53" s="109"/>
      <c r="AJ53" s="4">
        <f t="shared" si="275"/>
        <v>0</v>
      </c>
      <c r="AK53" s="4">
        <f t="shared" si="276"/>
        <v>0</v>
      </c>
      <c r="AM53" s="4">
        <f t="shared" si="277"/>
        <v>0</v>
      </c>
      <c r="AN53" s="4">
        <f t="shared" si="278"/>
        <v>0</v>
      </c>
      <c r="AP53" s="4">
        <f t="shared" si="279"/>
        <v>0</v>
      </c>
      <c r="AQ53" s="4">
        <f t="shared" si="280"/>
        <v>0</v>
      </c>
      <c r="AS53" s="4">
        <f t="shared" si="281"/>
        <v>0</v>
      </c>
      <c r="AT53" s="4">
        <f t="shared" si="282"/>
        <v>0</v>
      </c>
      <c r="AV53" s="4">
        <f t="shared" si="283"/>
        <v>0</v>
      </c>
      <c r="AW53" s="4">
        <f t="shared" si="284"/>
        <v>0</v>
      </c>
      <c r="BA53" s="4">
        <f t="shared" si="285"/>
        <v>0</v>
      </c>
      <c r="BB53" s="4">
        <f t="shared" si="286"/>
        <v>0</v>
      </c>
      <c r="BF53" s="4">
        <f t="shared" si="287"/>
        <v>0</v>
      </c>
      <c r="BG53" s="4">
        <f t="shared" si="288"/>
        <v>0</v>
      </c>
      <c r="BI53" s="4">
        <f t="shared" si="289"/>
        <v>0</v>
      </c>
      <c r="BJ53" s="4">
        <f t="shared" si="290"/>
        <v>0</v>
      </c>
      <c r="BK53" s="111"/>
      <c r="BM53" s="4" t="str">
        <f>IF(ISNUMBER(BL53),_xlfn.XLOOKUP(A53,Unit_Codes[Unit Codes],Unit_Codes[CWS Hrs. Per Student],0),"")</f>
        <v/>
      </c>
      <c r="BN53" s="4">
        <f t="shared" si="291"/>
        <v>0</v>
      </c>
      <c r="BO53" s="20">
        <f t="shared" si="292"/>
        <v>0</v>
      </c>
      <c r="BQ53" s="20">
        <f t="shared" si="293"/>
        <v>0</v>
      </c>
    </row>
    <row r="54" spans="2:69" x14ac:dyDescent="0.25">
      <c r="B54" s="105" t="s">
        <v>221</v>
      </c>
      <c r="D54" t="str">
        <f>_xlfn.XLOOKUP(A54,Unit_Codes[Unit Codes],Unit_Codes[Enrolment '# (29.04.24)],"",0)</f>
        <v/>
      </c>
      <c r="E54" t="str">
        <f t="shared" si="253"/>
        <v/>
      </c>
      <c r="F54" t="str">
        <f t="shared" si="254"/>
        <v/>
      </c>
      <c r="G54">
        <f>COUNTIF($F$3:F54,F54)</f>
        <v>18</v>
      </c>
      <c r="H54" s="52" t="str">
        <f t="shared" si="255"/>
        <v>18</v>
      </c>
      <c r="I54" s="5">
        <f t="shared" si="256"/>
        <v>0</v>
      </c>
      <c r="J54" s="5">
        <f t="shared" si="257"/>
        <v>0</v>
      </c>
      <c r="K54" s="10">
        <f t="shared" si="258"/>
        <v>0</v>
      </c>
      <c r="L54" s="10">
        <f t="shared" si="259"/>
        <v>0</v>
      </c>
      <c r="M54" s="14">
        <f t="shared" si="260"/>
        <v>0</v>
      </c>
      <c r="N54" s="14">
        <f t="shared" si="261"/>
        <v>0</v>
      </c>
      <c r="O54" s="16">
        <f t="shared" si="262"/>
        <v>0</v>
      </c>
      <c r="P54" s="16">
        <f t="shared" si="263"/>
        <v>0</v>
      </c>
      <c r="Q54" s="12">
        <f t="shared" si="264"/>
        <v>0</v>
      </c>
      <c r="R54" s="18">
        <f t="shared" si="265"/>
        <v>0</v>
      </c>
      <c r="S54" s="114"/>
      <c r="V54" s="4" t="str">
        <f t="shared" si="266"/>
        <v/>
      </c>
      <c r="X54" s="4">
        <f t="shared" si="267"/>
        <v>0</v>
      </c>
      <c r="Y54" s="20">
        <f t="shared" si="268"/>
        <v>0</v>
      </c>
      <c r="AA54" s="4">
        <f t="shared" si="269"/>
        <v>0</v>
      </c>
      <c r="AB54" s="4">
        <f t="shared" si="270"/>
        <v>0</v>
      </c>
      <c r="AD54" s="4">
        <f t="shared" si="271"/>
        <v>0</v>
      </c>
      <c r="AE54" s="4">
        <f t="shared" si="272"/>
        <v>0</v>
      </c>
      <c r="AG54" s="4">
        <f t="shared" si="273"/>
        <v>0</v>
      </c>
      <c r="AH54" s="4">
        <f t="shared" si="274"/>
        <v>0</v>
      </c>
      <c r="AI54" s="109"/>
      <c r="AJ54" s="4">
        <f t="shared" si="275"/>
        <v>0</v>
      </c>
      <c r="AK54" s="4">
        <f t="shared" si="276"/>
        <v>0</v>
      </c>
      <c r="AM54" s="4">
        <f t="shared" si="277"/>
        <v>0</v>
      </c>
      <c r="AN54" s="4">
        <f t="shared" si="278"/>
        <v>0</v>
      </c>
      <c r="AP54" s="4">
        <f t="shared" si="279"/>
        <v>0</v>
      </c>
      <c r="AQ54" s="4">
        <f t="shared" si="280"/>
        <v>0</v>
      </c>
      <c r="AS54" s="4">
        <f t="shared" si="281"/>
        <v>0</v>
      </c>
      <c r="AT54" s="4">
        <f t="shared" si="282"/>
        <v>0</v>
      </c>
      <c r="AV54" s="4">
        <f t="shared" si="283"/>
        <v>0</v>
      </c>
      <c r="AW54" s="4">
        <f t="shared" si="284"/>
        <v>0</v>
      </c>
      <c r="BA54" s="4">
        <f t="shared" si="285"/>
        <v>0</v>
      </c>
      <c r="BB54" s="4">
        <f t="shared" si="286"/>
        <v>0</v>
      </c>
      <c r="BF54" s="4">
        <f t="shared" si="287"/>
        <v>0</v>
      </c>
      <c r="BG54" s="4">
        <f t="shared" si="288"/>
        <v>0</v>
      </c>
      <c r="BI54" s="4">
        <f t="shared" si="289"/>
        <v>0</v>
      </c>
      <c r="BJ54" s="4">
        <f t="shared" si="290"/>
        <v>0</v>
      </c>
      <c r="BK54" s="111"/>
      <c r="BM54" s="4" t="str">
        <f>IF(ISNUMBER(BL54),_xlfn.XLOOKUP(A54,Unit_Codes[Unit Codes],Unit_Codes[CWS Hrs. Per Student],0),"")</f>
        <v/>
      </c>
      <c r="BN54" s="4">
        <f t="shared" si="291"/>
        <v>0</v>
      </c>
      <c r="BO54" s="20">
        <f t="shared" si="292"/>
        <v>0</v>
      </c>
      <c r="BQ54" s="20">
        <f t="shared" si="293"/>
        <v>0</v>
      </c>
    </row>
    <row r="55" spans="2:69" x14ac:dyDescent="0.25">
      <c r="B55" s="105" t="s">
        <v>221</v>
      </c>
      <c r="D55" t="str">
        <f>_xlfn.XLOOKUP(A55,Unit_Codes[Unit Codes],Unit_Codes[Enrolment '# (29.04.24)],"",0)</f>
        <v/>
      </c>
      <c r="E55" t="str">
        <f t="shared" si="253"/>
        <v/>
      </c>
      <c r="F55" t="str">
        <f t="shared" si="254"/>
        <v/>
      </c>
      <c r="G55">
        <f>COUNTIF($F$3:F55,F55)</f>
        <v>19</v>
      </c>
      <c r="H55" s="52" t="str">
        <f t="shared" si="255"/>
        <v>19</v>
      </c>
      <c r="I55" s="5">
        <f t="shared" si="256"/>
        <v>0</v>
      </c>
      <c r="J55" s="5">
        <f t="shared" si="257"/>
        <v>0</v>
      </c>
      <c r="K55" s="10">
        <f t="shared" si="258"/>
        <v>0</v>
      </c>
      <c r="L55" s="10">
        <f t="shared" si="259"/>
        <v>0</v>
      </c>
      <c r="M55" s="14">
        <f t="shared" si="260"/>
        <v>0</v>
      </c>
      <c r="N55" s="14">
        <f t="shared" si="261"/>
        <v>0</v>
      </c>
      <c r="O55" s="16">
        <f t="shared" si="262"/>
        <v>0</v>
      </c>
      <c r="P55" s="16">
        <f t="shared" si="263"/>
        <v>0</v>
      </c>
      <c r="Q55" s="12">
        <f t="shared" si="264"/>
        <v>0</v>
      </c>
      <c r="R55" s="18">
        <f t="shared" si="265"/>
        <v>0</v>
      </c>
      <c r="S55" s="114"/>
      <c r="V55" s="4" t="str">
        <f t="shared" si="266"/>
        <v/>
      </c>
      <c r="X55" s="4">
        <f t="shared" si="267"/>
        <v>0</v>
      </c>
      <c r="Y55" s="20">
        <f t="shared" si="268"/>
        <v>0</v>
      </c>
      <c r="AA55" s="4">
        <f t="shared" si="269"/>
        <v>0</v>
      </c>
      <c r="AB55" s="4">
        <f t="shared" si="270"/>
        <v>0</v>
      </c>
      <c r="AD55" s="4">
        <f t="shared" si="271"/>
        <v>0</v>
      </c>
      <c r="AE55" s="4">
        <f t="shared" si="272"/>
        <v>0</v>
      </c>
      <c r="AG55" s="4">
        <f t="shared" si="273"/>
        <v>0</v>
      </c>
      <c r="AH55" s="4">
        <f t="shared" si="274"/>
        <v>0</v>
      </c>
      <c r="AI55" s="109"/>
      <c r="AJ55" s="4">
        <f t="shared" si="275"/>
        <v>0</v>
      </c>
      <c r="AK55" s="4">
        <f t="shared" si="276"/>
        <v>0</v>
      </c>
      <c r="AM55" s="4">
        <f t="shared" si="277"/>
        <v>0</v>
      </c>
      <c r="AN55" s="4">
        <f t="shared" si="278"/>
        <v>0</v>
      </c>
      <c r="AP55" s="4">
        <f t="shared" si="279"/>
        <v>0</v>
      </c>
      <c r="AQ55" s="4">
        <f t="shared" si="280"/>
        <v>0</v>
      </c>
      <c r="AS55" s="4">
        <f t="shared" si="281"/>
        <v>0</v>
      </c>
      <c r="AT55" s="4">
        <f t="shared" si="282"/>
        <v>0</v>
      </c>
      <c r="AV55" s="4">
        <f t="shared" si="283"/>
        <v>0</v>
      </c>
      <c r="AW55" s="4">
        <f t="shared" si="284"/>
        <v>0</v>
      </c>
      <c r="BA55" s="4">
        <f t="shared" si="285"/>
        <v>0</v>
      </c>
      <c r="BB55" s="4">
        <f t="shared" si="286"/>
        <v>0</v>
      </c>
      <c r="BF55" s="4">
        <f t="shared" si="287"/>
        <v>0</v>
      </c>
      <c r="BG55" s="4">
        <f t="shared" si="288"/>
        <v>0</v>
      </c>
      <c r="BI55" s="4">
        <f t="shared" si="289"/>
        <v>0</v>
      </c>
      <c r="BJ55" s="4">
        <f t="shared" si="290"/>
        <v>0</v>
      </c>
      <c r="BK55" s="111"/>
      <c r="BM55" s="4" t="str">
        <f>IF(ISNUMBER(BL55),_xlfn.XLOOKUP(A55,Unit_Codes[Unit Codes],Unit_Codes[CWS Hrs. Per Student],0),"")</f>
        <v/>
      </c>
      <c r="BN55" s="4">
        <f t="shared" si="291"/>
        <v>0</v>
      </c>
      <c r="BO55" s="20">
        <f t="shared" si="292"/>
        <v>0</v>
      </c>
      <c r="BQ55" s="20">
        <f t="shared" si="293"/>
        <v>0</v>
      </c>
    </row>
    <row r="56" spans="2:69" x14ac:dyDescent="0.25">
      <c r="B56" s="105" t="s">
        <v>221</v>
      </c>
      <c r="D56" t="str">
        <f>_xlfn.XLOOKUP(A56,Unit_Codes[Unit Codes],Unit_Codes[Enrolment '# (29.04.24)],"",0)</f>
        <v/>
      </c>
      <c r="E56" t="str">
        <f t="shared" si="253"/>
        <v/>
      </c>
      <c r="F56" t="str">
        <f t="shared" si="254"/>
        <v/>
      </c>
      <c r="G56">
        <f>COUNTIF($F$3:F56,F56)</f>
        <v>20</v>
      </c>
      <c r="H56" s="52" t="str">
        <f t="shared" si="255"/>
        <v>20</v>
      </c>
      <c r="I56" s="5">
        <f t="shared" si="256"/>
        <v>0</v>
      </c>
      <c r="J56" s="5">
        <f t="shared" si="257"/>
        <v>0</v>
      </c>
      <c r="K56" s="10">
        <f t="shared" si="258"/>
        <v>0</v>
      </c>
      <c r="L56" s="10">
        <f t="shared" si="259"/>
        <v>0</v>
      </c>
      <c r="M56" s="14">
        <f t="shared" si="260"/>
        <v>0</v>
      </c>
      <c r="N56" s="14">
        <f t="shared" si="261"/>
        <v>0</v>
      </c>
      <c r="O56" s="16">
        <f t="shared" si="262"/>
        <v>0</v>
      </c>
      <c r="P56" s="16">
        <f t="shared" si="263"/>
        <v>0</v>
      </c>
      <c r="Q56" s="12">
        <f t="shared" si="264"/>
        <v>0</v>
      </c>
      <c r="R56" s="18">
        <f t="shared" si="265"/>
        <v>0</v>
      </c>
      <c r="S56" s="114"/>
      <c r="V56" s="4" t="str">
        <f t="shared" si="266"/>
        <v/>
      </c>
      <c r="X56" s="4">
        <f t="shared" si="267"/>
        <v>0</v>
      </c>
      <c r="Y56" s="20">
        <f t="shared" si="268"/>
        <v>0</v>
      </c>
      <c r="AA56" s="4">
        <f t="shared" si="269"/>
        <v>0</v>
      </c>
      <c r="AB56" s="4">
        <f t="shared" si="270"/>
        <v>0</v>
      </c>
      <c r="AD56" s="4">
        <f t="shared" si="271"/>
        <v>0</v>
      </c>
      <c r="AE56" s="4">
        <f t="shared" si="272"/>
        <v>0</v>
      </c>
      <c r="AG56" s="4">
        <f t="shared" si="273"/>
        <v>0</v>
      </c>
      <c r="AH56" s="4">
        <f t="shared" si="274"/>
        <v>0</v>
      </c>
      <c r="AI56" s="109"/>
      <c r="AJ56" s="4">
        <f t="shared" si="275"/>
        <v>0</v>
      </c>
      <c r="AK56" s="4">
        <f t="shared" si="276"/>
        <v>0</v>
      </c>
      <c r="AM56" s="4">
        <f t="shared" si="277"/>
        <v>0</v>
      </c>
      <c r="AN56" s="4">
        <f t="shared" si="278"/>
        <v>0</v>
      </c>
      <c r="AP56" s="4">
        <f t="shared" si="279"/>
        <v>0</v>
      </c>
      <c r="AQ56" s="4">
        <f t="shared" si="280"/>
        <v>0</v>
      </c>
      <c r="AS56" s="4">
        <f t="shared" si="281"/>
        <v>0</v>
      </c>
      <c r="AT56" s="4">
        <f t="shared" si="282"/>
        <v>0</v>
      </c>
      <c r="AV56" s="4">
        <f t="shared" si="283"/>
        <v>0</v>
      </c>
      <c r="AW56" s="4">
        <f t="shared" si="284"/>
        <v>0</v>
      </c>
      <c r="BA56" s="4">
        <f t="shared" si="285"/>
        <v>0</v>
      </c>
      <c r="BB56" s="4">
        <f t="shared" si="286"/>
        <v>0</v>
      </c>
      <c r="BF56" s="4">
        <f t="shared" si="287"/>
        <v>0</v>
      </c>
      <c r="BG56" s="4">
        <f t="shared" si="288"/>
        <v>0</v>
      </c>
      <c r="BI56" s="4">
        <f t="shared" si="289"/>
        <v>0</v>
      </c>
      <c r="BJ56" s="4">
        <f t="shared" si="290"/>
        <v>0</v>
      </c>
      <c r="BK56" s="111"/>
      <c r="BM56" s="4" t="str">
        <f>IF(ISNUMBER(BL56),_xlfn.XLOOKUP(A56,Unit_Codes[Unit Codes],Unit_Codes[CWS Hrs. Per Student],0),"")</f>
        <v/>
      </c>
      <c r="BN56" s="4">
        <f t="shared" si="291"/>
        <v>0</v>
      </c>
      <c r="BO56" s="20">
        <f t="shared" si="292"/>
        <v>0</v>
      </c>
      <c r="BQ56" s="20">
        <f t="shared" si="293"/>
        <v>0</v>
      </c>
    </row>
    <row r="57" spans="2:69" x14ac:dyDescent="0.25">
      <c r="B57" s="105" t="s">
        <v>221</v>
      </c>
      <c r="D57" t="str">
        <f>_xlfn.XLOOKUP(A57,Unit_Codes[Unit Codes],Unit_Codes[Enrolment '# (29.04.24)],"",0)</f>
        <v/>
      </c>
      <c r="E57" t="str">
        <f t="shared" si="253"/>
        <v/>
      </c>
      <c r="F57" t="str">
        <f t="shared" si="254"/>
        <v/>
      </c>
      <c r="G57">
        <f>COUNTIF($F$3:F57,F57)</f>
        <v>21</v>
      </c>
      <c r="H57" s="52" t="str">
        <f t="shared" si="255"/>
        <v>21</v>
      </c>
      <c r="I57" s="5">
        <f t="shared" si="256"/>
        <v>0</v>
      </c>
      <c r="J57" s="5">
        <f t="shared" si="257"/>
        <v>0</v>
      </c>
      <c r="K57" s="10">
        <f t="shared" si="258"/>
        <v>0</v>
      </c>
      <c r="L57" s="10">
        <f t="shared" si="259"/>
        <v>0</v>
      </c>
      <c r="M57" s="14">
        <f t="shared" si="260"/>
        <v>0</v>
      </c>
      <c r="N57" s="14">
        <f t="shared" si="261"/>
        <v>0</v>
      </c>
      <c r="O57" s="16">
        <f t="shared" si="262"/>
        <v>0</v>
      </c>
      <c r="P57" s="16">
        <f t="shared" si="263"/>
        <v>0</v>
      </c>
      <c r="Q57" s="12">
        <f t="shared" si="264"/>
        <v>0</v>
      </c>
      <c r="R57" s="18">
        <f t="shared" si="265"/>
        <v>0</v>
      </c>
      <c r="S57" s="114"/>
      <c r="V57" s="4" t="str">
        <f t="shared" si="266"/>
        <v/>
      </c>
      <c r="X57" s="4">
        <f t="shared" si="267"/>
        <v>0</v>
      </c>
      <c r="Y57" s="20">
        <f t="shared" si="268"/>
        <v>0</v>
      </c>
      <c r="AA57" s="4">
        <f t="shared" si="269"/>
        <v>0</v>
      </c>
      <c r="AB57" s="4">
        <f t="shared" si="270"/>
        <v>0</v>
      </c>
      <c r="AD57" s="4">
        <f t="shared" si="271"/>
        <v>0</v>
      </c>
      <c r="AE57" s="4">
        <f t="shared" si="272"/>
        <v>0</v>
      </c>
      <c r="AG57" s="4">
        <f t="shared" si="273"/>
        <v>0</v>
      </c>
      <c r="AH57" s="4">
        <f t="shared" si="274"/>
        <v>0</v>
      </c>
      <c r="AI57" s="109"/>
      <c r="AJ57" s="4">
        <f t="shared" si="275"/>
        <v>0</v>
      </c>
      <c r="AK57" s="4">
        <f t="shared" si="276"/>
        <v>0</v>
      </c>
      <c r="AM57" s="4">
        <f t="shared" si="277"/>
        <v>0</v>
      </c>
      <c r="AN57" s="4">
        <f t="shared" si="278"/>
        <v>0</v>
      </c>
      <c r="AP57" s="4">
        <f t="shared" si="279"/>
        <v>0</v>
      </c>
      <c r="AQ57" s="4">
        <f t="shared" si="280"/>
        <v>0</v>
      </c>
      <c r="AS57" s="4">
        <f t="shared" si="281"/>
        <v>0</v>
      </c>
      <c r="AT57" s="4">
        <f t="shared" si="282"/>
        <v>0</v>
      </c>
      <c r="AV57" s="4">
        <f t="shared" si="283"/>
        <v>0</v>
      </c>
      <c r="AW57" s="4">
        <f t="shared" si="284"/>
        <v>0</v>
      </c>
      <c r="BA57" s="4">
        <f t="shared" si="285"/>
        <v>0</v>
      </c>
      <c r="BB57" s="4">
        <f t="shared" si="286"/>
        <v>0</v>
      </c>
      <c r="BF57" s="4">
        <f t="shared" si="287"/>
        <v>0</v>
      </c>
      <c r="BG57" s="4">
        <f t="shared" si="288"/>
        <v>0</v>
      </c>
      <c r="BI57" s="4">
        <f t="shared" si="289"/>
        <v>0</v>
      </c>
      <c r="BJ57" s="4">
        <f t="shared" si="290"/>
        <v>0</v>
      </c>
      <c r="BK57" s="111"/>
      <c r="BM57" s="4" t="str">
        <f>IF(ISNUMBER(BL57),_xlfn.XLOOKUP(A57,Unit_Codes[Unit Codes],Unit_Codes[CWS Hrs. Per Student],0),"")</f>
        <v/>
      </c>
      <c r="BN57" s="4">
        <f t="shared" si="291"/>
        <v>0</v>
      </c>
      <c r="BO57" s="20">
        <f t="shared" si="292"/>
        <v>0</v>
      </c>
      <c r="BQ57" s="20">
        <f t="shared" si="293"/>
        <v>0</v>
      </c>
    </row>
    <row r="58" spans="2:69" x14ac:dyDescent="0.25">
      <c r="B58" s="105" t="s">
        <v>221</v>
      </c>
      <c r="D58" t="str">
        <f>_xlfn.XLOOKUP(A58,Unit_Codes[Unit Codes],Unit_Codes[Enrolment '# (29.04.24)],"",0)</f>
        <v/>
      </c>
      <c r="E58" t="str">
        <f t="shared" si="253"/>
        <v/>
      </c>
      <c r="F58" t="str">
        <f t="shared" si="254"/>
        <v/>
      </c>
      <c r="G58">
        <f>COUNTIF($F$3:F58,F58)</f>
        <v>22</v>
      </c>
      <c r="H58" s="52" t="str">
        <f t="shared" si="255"/>
        <v>22</v>
      </c>
      <c r="I58" s="5">
        <f t="shared" si="256"/>
        <v>0</v>
      </c>
      <c r="J58" s="5">
        <f t="shared" si="257"/>
        <v>0</v>
      </c>
      <c r="K58" s="10">
        <f t="shared" si="258"/>
        <v>0</v>
      </c>
      <c r="L58" s="10">
        <f t="shared" si="259"/>
        <v>0</v>
      </c>
      <c r="M58" s="14">
        <f t="shared" si="260"/>
        <v>0</v>
      </c>
      <c r="N58" s="14">
        <f t="shared" si="261"/>
        <v>0</v>
      </c>
      <c r="O58" s="16">
        <f t="shared" si="262"/>
        <v>0</v>
      </c>
      <c r="P58" s="16">
        <f t="shared" si="263"/>
        <v>0</v>
      </c>
      <c r="Q58" s="12">
        <f t="shared" si="264"/>
        <v>0</v>
      </c>
      <c r="R58" s="18">
        <f t="shared" si="265"/>
        <v>0</v>
      </c>
      <c r="S58" s="114"/>
      <c r="V58" s="4" t="str">
        <f t="shared" si="266"/>
        <v/>
      </c>
      <c r="X58" s="4">
        <f t="shared" si="267"/>
        <v>0</v>
      </c>
      <c r="Y58" s="20">
        <f t="shared" si="268"/>
        <v>0</v>
      </c>
      <c r="AA58" s="4">
        <f t="shared" si="269"/>
        <v>0</v>
      </c>
      <c r="AB58" s="4">
        <f t="shared" si="270"/>
        <v>0</v>
      </c>
      <c r="AD58" s="4">
        <f t="shared" si="271"/>
        <v>0</v>
      </c>
      <c r="AE58" s="4">
        <f t="shared" si="272"/>
        <v>0</v>
      </c>
      <c r="AG58" s="4">
        <f t="shared" si="273"/>
        <v>0</v>
      </c>
      <c r="AH58" s="4">
        <f t="shared" si="274"/>
        <v>0</v>
      </c>
      <c r="AI58" s="109"/>
      <c r="AJ58" s="4">
        <f t="shared" si="275"/>
        <v>0</v>
      </c>
      <c r="AK58" s="4">
        <f t="shared" si="276"/>
        <v>0</v>
      </c>
      <c r="AM58" s="4">
        <f t="shared" si="277"/>
        <v>0</v>
      </c>
      <c r="AN58" s="4">
        <f t="shared" si="278"/>
        <v>0</v>
      </c>
      <c r="AP58" s="4">
        <f t="shared" si="279"/>
        <v>0</v>
      </c>
      <c r="AQ58" s="4">
        <f t="shared" si="280"/>
        <v>0</v>
      </c>
      <c r="AS58" s="4">
        <f t="shared" si="281"/>
        <v>0</v>
      </c>
      <c r="AT58" s="4">
        <f t="shared" si="282"/>
        <v>0</v>
      </c>
      <c r="AV58" s="4">
        <f t="shared" si="283"/>
        <v>0</v>
      </c>
      <c r="AW58" s="4">
        <f t="shared" si="284"/>
        <v>0</v>
      </c>
      <c r="BA58" s="4">
        <f t="shared" si="285"/>
        <v>0</v>
      </c>
      <c r="BB58" s="4">
        <f t="shared" si="286"/>
        <v>0</v>
      </c>
      <c r="BF58" s="4">
        <f t="shared" si="287"/>
        <v>0</v>
      </c>
      <c r="BG58" s="4">
        <f t="shared" si="288"/>
        <v>0</v>
      </c>
      <c r="BI58" s="4">
        <f t="shared" si="289"/>
        <v>0</v>
      </c>
      <c r="BJ58" s="4">
        <f t="shared" si="290"/>
        <v>0</v>
      </c>
      <c r="BK58" s="111"/>
      <c r="BM58" s="4" t="str">
        <f>IF(ISNUMBER(BL58),_xlfn.XLOOKUP(A58,Unit_Codes[Unit Codes],Unit_Codes[CWS Hrs. Per Student],0),"")</f>
        <v/>
      </c>
      <c r="BN58" s="4">
        <f t="shared" si="291"/>
        <v>0</v>
      </c>
      <c r="BO58" s="20">
        <f t="shared" si="292"/>
        <v>0</v>
      </c>
      <c r="BQ58" s="20">
        <f t="shared" si="293"/>
        <v>0</v>
      </c>
    </row>
    <row r="59" spans="2:69" x14ac:dyDescent="0.25">
      <c r="B59" s="105" t="s">
        <v>221</v>
      </c>
      <c r="D59" t="str">
        <f>_xlfn.XLOOKUP(A59,Unit_Codes[Unit Codes],Unit_Codes[Enrolment '# (29.04.24)],"",0)</f>
        <v/>
      </c>
      <c r="E59" t="str">
        <f t="shared" si="253"/>
        <v/>
      </c>
      <c r="F59" t="str">
        <f t="shared" si="254"/>
        <v/>
      </c>
      <c r="G59">
        <f>COUNTIF($F$3:F59,F59)</f>
        <v>23</v>
      </c>
      <c r="H59" s="52" t="str">
        <f t="shared" si="255"/>
        <v>23</v>
      </c>
      <c r="I59" s="5">
        <f t="shared" si="256"/>
        <v>0</v>
      </c>
      <c r="J59" s="5">
        <f t="shared" si="257"/>
        <v>0</v>
      </c>
      <c r="K59" s="10">
        <f t="shared" si="258"/>
        <v>0</v>
      </c>
      <c r="L59" s="10">
        <f t="shared" si="259"/>
        <v>0</v>
      </c>
      <c r="M59" s="14">
        <f t="shared" si="260"/>
        <v>0</v>
      </c>
      <c r="N59" s="14">
        <f t="shared" si="261"/>
        <v>0</v>
      </c>
      <c r="O59" s="16">
        <f t="shared" si="262"/>
        <v>0</v>
      </c>
      <c r="P59" s="16">
        <f t="shared" si="263"/>
        <v>0</v>
      </c>
      <c r="Q59" s="12">
        <f t="shared" si="264"/>
        <v>0</v>
      </c>
      <c r="R59" s="18">
        <f t="shared" si="265"/>
        <v>0</v>
      </c>
      <c r="S59" s="114"/>
      <c r="V59" s="4" t="str">
        <f t="shared" si="266"/>
        <v/>
      </c>
      <c r="X59" s="4">
        <f t="shared" si="267"/>
        <v>0</v>
      </c>
      <c r="Y59" s="20">
        <f t="shared" si="268"/>
        <v>0</v>
      </c>
      <c r="AA59" s="4">
        <f t="shared" si="269"/>
        <v>0</v>
      </c>
      <c r="AB59" s="4">
        <f t="shared" si="270"/>
        <v>0</v>
      </c>
      <c r="AD59" s="4">
        <f t="shared" si="271"/>
        <v>0</v>
      </c>
      <c r="AE59" s="4">
        <f t="shared" si="272"/>
        <v>0</v>
      </c>
      <c r="AG59" s="4">
        <f t="shared" si="273"/>
        <v>0</v>
      </c>
      <c r="AH59" s="4">
        <f t="shared" si="274"/>
        <v>0</v>
      </c>
      <c r="AI59" s="109"/>
      <c r="AJ59" s="4">
        <f t="shared" si="275"/>
        <v>0</v>
      </c>
      <c r="AK59" s="4">
        <f t="shared" si="276"/>
        <v>0</v>
      </c>
      <c r="AM59" s="4">
        <f t="shared" si="277"/>
        <v>0</v>
      </c>
      <c r="AN59" s="4">
        <f t="shared" si="278"/>
        <v>0</v>
      </c>
      <c r="AP59" s="4">
        <f t="shared" si="279"/>
        <v>0</v>
      </c>
      <c r="AQ59" s="4">
        <f t="shared" si="280"/>
        <v>0</v>
      </c>
      <c r="AS59" s="4">
        <f t="shared" si="281"/>
        <v>0</v>
      </c>
      <c r="AT59" s="4">
        <f t="shared" si="282"/>
        <v>0</v>
      </c>
      <c r="AV59" s="4">
        <f t="shared" si="283"/>
        <v>0</v>
      </c>
      <c r="AW59" s="4">
        <f t="shared" si="284"/>
        <v>0</v>
      </c>
      <c r="BA59" s="4">
        <f t="shared" si="285"/>
        <v>0</v>
      </c>
      <c r="BB59" s="4">
        <f t="shared" si="286"/>
        <v>0</v>
      </c>
      <c r="BF59" s="4">
        <f t="shared" si="287"/>
        <v>0</v>
      </c>
      <c r="BG59" s="4">
        <f t="shared" si="288"/>
        <v>0</v>
      </c>
      <c r="BI59" s="4">
        <f t="shared" si="289"/>
        <v>0</v>
      </c>
      <c r="BJ59" s="4">
        <f t="shared" si="290"/>
        <v>0</v>
      </c>
      <c r="BK59" s="111"/>
      <c r="BM59" s="4" t="str">
        <f>IF(ISNUMBER(BL59),_xlfn.XLOOKUP(A59,Unit_Codes[Unit Codes],Unit_Codes[CWS Hrs. Per Student],0),"")</f>
        <v/>
      </c>
      <c r="BN59" s="4">
        <f t="shared" si="291"/>
        <v>0</v>
      </c>
      <c r="BO59" s="20">
        <f t="shared" si="292"/>
        <v>0</v>
      </c>
      <c r="BQ59" s="20">
        <f t="shared" si="293"/>
        <v>0</v>
      </c>
    </row>
    <row r="60" spans="2:69" x14ac:dyDescent="0.25">
      <c r="B60" s="105" t="s">
        <v>221</v>
      </c>
      <c r="D60" t="str">
        <f>_xlfn.XLOOKUP(A60,Unit_Codes[Unit Codes],Unit_Codes[Enrolment '# (29.04.24)],"",0)</f>
        <v/>
      </c>
      <c r="E60" t="str">
        <f t="shared" si="253"/>
        <v/>
      </c>
      <c r="F60" t="str">
        <f t="shared" si="254"/>
        <v/>
      </c>
      <c r="G60">
        <f>COUNTIF($F$3:F60,F60)</f>
        <v>24</v>
      </c>
      <c r="H60" s="52" t="str">
        <f t="shared" si="255"/>
        <v>24</v>
      </c>
      <c r="I60" s="5">
        <f t="shared" si="256"/>
        <v>0</v>
      </c>
      <c r="J60" s="5">
        <f t="shared" si="257"/>
        <v>0</v>
      </c>
      <c r="K60" s="10">
        <f t="shared" si="258"/>
        <v>0</v>
      </c>
      <c r="L60" s="10">
        <f t="shared" si="259"/>
        <v>0</v>
      </c>
      <c r="M60" s="14">
        <f t="shared" si="260"/>
        <v>0</v>
      </c>
      <c r="N60" s="14">
        <f t="shared" si="261"/>
        <v>0</v>
      </c>
      <c r="O60" s="16">
        <f t="shared" si="262"/>
        <v>0</v>
      </c>
      <c r="P60" s="16">
        <f t="shared" si="263"/>
        <v>0</v>
      </c>
      <c r="Q60" s="12">
        <f t="shared" si="264"/>
        <v>0</v>
      </c>
      <c r="R60" s="18">
        <f t="shared" si="265"/>
        <v>0</v>
      </c>
      <c r="S60" s="114"/>
      <c r="V60" s="4" t="str">
        <f t="shared" si="266"/>
        <v/>
      </c>
      <c r="X60" s="4">
        <f t="shared" si="267"/>
        <v>0</v>
      </c>
      <c r="Y60" s="20">
        <f t="shared" si="268"/>
        <v>0</v>
      </c>
      <c r="AA60" s="4">
        <f t="shared" si="269"/>
        <v>0</v>
      </c>
      <c r="AB60" s="4">
        <f t="shared" si="270"/>
        <v>0</v>
      </c>
      <c r="AD60" s="4">
        <f t="shared" si="271"/>
        <v>0</v>
      </c>
      <c r="AE60" s="4">
        <f t="shared" si="272"/>
        <v>0</v>
      </c>
      <c r="AG60" s="4">
        <f t="shared" si="273"/>
        <v>0</v>
      </c>
      <c r="AH60" s="4">
        <f t="shared" si="274"/>
        <v>0</v>
      </c>
      <c r="AI60" s="109"/>
      <c r="AJ60" s="4">
        <f t="shared" si="275"/>
        <v>0</v>
      </c>
      <c r="AK60" s="4">
        <f t="shared" si="276"/>
        <v>0</v>
      </c>
      <c r="AM60" s="4">
        <f t="shared" si="277"/>
        <v>0</v>
      </c>
      <c r="AN60" s="4">
        <f t="shared" si="278"/>
        <v>0</v>
      </c>
      <c r="AP60" s="4">
        <f t="shared" si="279"/>
        <v>0</v>
      </c>
      <c r="AQ60" s="4">
        <f t="shared" si="280"/>
        <v>0</v>
      </c>
      <c r="AS60" s="4">
        <f t="shared" si="281"/>
        <v>0</v>
      </c>
      <c r="AT60" s="4">
        <f t="shared" si="282"/>
        <v>0</v>
      </c>
      <c r="AV60" s="4">
        <f t="shared" si="283"/>
        <v>0</v>
      </c>
      <c r="AW60" s="4">
        <f t="shared" si="284"/>
        <v>0</v>
      </c>
      <c r="BA60" s="4">
        <f t="shared" si="285"/>
        <v>0</v>
      </c>
      <c r="BB60" s="4">
        <f t="shared" si="286"/>
        <v>0</v>
      </c>
      <c r="BF60" s="4">
        <f t="shared" si="287"/>
        <v>0</v>
      </c>
      <c r="BG60" s="4">
        <f t="shared" si="288"/>
        <v>0</v>
      </c>
      <c r="BI60" s="4">
        <f t="shared" si="289"/>
        <v>0</v>
      </c>
      <c r="BJ60" s="4">
        <f t="shared" si="290"/>
        <v>0</v>
      </c>
      <c r="BK60" s="111"/>
      <c r="BM60" s="4" t="str">
        <f>IF(ISNUMBER(BL60),_xlfn.XLOOKUP(A60,Unit_Codes[Unit Codes],Unit_Codes[CWS Hrs. Per Student],0),"")</f>
        <v/>
      </c>
      <c r="BN60" s="4">
        <f t="shared" si="291"/>
        <v>0</v>
      </c>
      <c r="BO60" s="20">
        <f t="shared" si="292"/>
        <v>0</v>
      </c>
      <c r="BQ60" s="20">
        <f t="shared" si="293"/>
        <v>0</v>
      </c>
    </row>
    <row r="61" spans="2:69" x14ac:dyDescent="0.25">
      <c r="B61" s="105" t="s">
        <v>221</v>
      </c>
      <c r="D61" t="str">
        <f>_xlfn.XLOOKUP(A61,Unit_Codes[Unit Codes],Unit_Codes[Enrolment '# (29.04.24)],"",0)</f>
        <v/>
      </c>
      <c r="E61" t="str">
        <f t="shared" si="253"/>
        <v/>
      </c>
      <c r="F61" t="str">
        <f t="shared" si="254"/>
        <v/>
      </c>
      <c r="G61">
        <f>COUNTIF($F$3:F61,F61)</f>
        <v>25</v>
      </c>
      <c r="H61" s="52" t="str">
        <f t="shared" si="255"/>
        <v>25</v>
      </c>
      <c r="I61" s="5">
        <f t="shared" si="256"/>
        <v>0</v>
      </c>
      <c r="J61" s="5">
        <f t="shared" si="257"/>
        <v>0</v>
      </c>
      <c r="K61" s="10">
        <f t="shared" si="258"/>
        <v>0</v>
      </c>
      <c r="L61" s="10">
        <f t="shared" si="259"/>
        <v>0</v>
      </c>
      <c r="M61" s="14">
        <f t="shared" si="260"/>
        <v>0</v>
      </c>
      <c r="N61" s="14">
        <f t="shared" si="261"/>
        <v>0</v>
      </c>
      <c r="O61" s="16">
        <f t="shared" si="262"/>
        <v>0</v>
      </c>
      <c r="P61" s="16">
        <f t="shared" si="263"/>
        <v>0</v>
      </c>
      <c r="Q61" s="12">
        <f t="shared" si="264"/>
        <v>0</v>
      </c>
      <c r="R61" s="18">
        <f t="shared" si="265"/>
        <v>0</v>
      </c>
      <c r="S61" s="114"/>
      <c r="V61" s="4" t="str">
        <f t="shared" si="266"/>
        <v/>
      </c>
      <c r="X61" s="4">
        <f t="shared" si="267"/>
        <v>0</v>
      </c>
      <c r="Y61" s="20">
        <f t="shared" si="268"/>
        <v>0</v>
      </c>
      <c r="AA61" s="4">
        <f t="shared" si="269"/>
        <v>0</v>
      </c>
      <c r="AB61" s="4">
        <f t="shared" si="270"/>
        <v>0</v>
      </c>
      <c r="AD61" s="4">
        <f t="shared" si="271"/>
        <v>0</v>
      </c>
      <c r="AE61" s="4">
        <f t="shared" si="272"/>
        <v>0</v>
      </c>
      <c r="AG61" s="4">
        <f t="shared" si="273"/>
        <v>0</v>
      </c>
      <c r="AH61" s="4">
        <f t="shared" si="274"/>
        <v>0</v>
      </c>
      <c r="AI61" s="109"/>
      <c r="AJ61" s="4">
        <f t="shared" si="275"/>
        <v>0</v>
      </c>
      <c r="AK61" s="4">
        <f t="shared" si="276"/>
        <v>0</v>
      </c>
      <c r="AM61" s="4">
        <f t="shared" si="277"/>
        <v>0</v>
      </c>
      <c r="AN61" s="4">
        <f t="shared" si="278"/>
        <v>0</v>
      </c>
      <c r="AP61" s="4">
        <f t="shared" si="279"/>
        <v>0</v>
      </c>
      <c r="AQ61" s="4">
        <f t="shared" si="280"/>
        <v>0</v>
      </c>
      <c r="AS61" s="4">
        <f t="shared" si="281"/>
        <v>0</v>
      </c>
      <c r="AT61" s="4">
        <f t="shared" si="282"/>
        <v>0</v>
      </c>
      <c r="AV61" s="4">
        <f t="shared" si="283"/>
        <v>0</v>
      </c>
      <c r="AW61" s="4">
        <f t="shared" si="284"/>
        <v>0</v>
      </c>
      <c r="BA61" s="4">
        <f t="shared" si="285"/>
        <v>0</v>
      </c>
      <c r="BB61" s="4">
        <f t="shared" si="286"/>
        <v>0</v>
      </c>
      <c r="BF61" s="4">
        <f t="shared" si="287"/>
        <v>0</v>
      </c>
      <c r="BG61" s="4">
        <f t="shared" si="288"/>
        <v>0</v>
      </c>
      <c r="BI61" s="4">
        <f t="shared" si="289"/>
        <v>0</v>
      </c>
      <c r="BJ61" s="4">
        <f t="shared" si="290"/>
        <v>0</v>
      </c>
      <c r="BK61" s="111"/>
      <c r="BM61" s="4" t="str">
        <f>IF(ISNUMBER(BL61),_xlfn.XLOOKUP(A61,Unit_Codes[Unit Codes],Unit_Codes[CWS Hrs. Per Student],0),"")</f>
        <v/>
      </c>
      <c r="BN61" s="4">
        <f t="shared" si="291"/>
        <v>0</v>
      </c>
      <c r="BO61" s="20">
        <f t="shared" si="292"/>
        <v>0</v>
      </c>
      <c r="BQ61" s="20">
        <f t="shared" si="293"/>
        <v>0</v>
      </c>
    </row>
    <row r="62" spans="2:69" x14ac:dyDescent="0.25">
      <c r="B62" s="105" t="s">
        <v>221</v>
      </c>
      <c r="D62" t="str">
        <f>_xlfn.XLOOKUP(A62,Unit_Codes[Unit Codes],Unit_Codes[Enrolment '# (29.04.24)],"",0)</f>
        <v/>
      </c>
      <c r="E62" t="str">
        <f t="shared" si="253"/>
        <v/>
      </c>
      <c r="F62" t="str">
        <f t="shared" si="254"/>
        <v/>
      </c>
      <c r="G62">
        <f>COUNTIF($F$3:F62,F62)</f>
        <v>26</v>
      </c>
      <c r="H62" s="52" t="str">
        <f t="shared" si="255"/>
        <v>26</v>
      </c>
      <c r="I62" s="5">
        <f t="shared" si="256"/>
        <v>0</v>
      </c>
      <c r="J62" s="5">
        <f t="shared" si="257"/>
        <v>0</v>
      </c>
      <c r="K62" s="10">
        <f t="shared" si="258"/>
        <v>0</v>
      </c>
      <c r="L62" s="10">
        <f t="shared" si="259"/>
        <v>0</v>
      </c>
      <c r="M62" s="14">
        <f t="shared" si="260"/>
        <v>0</v>
      </c>
      <c r="N62" s="14">
        <f t="shared" si="261"/>
        <v>0</v>
      </c>
      <c r="O62" s="16">
        <f t="shared" si="262"/>
        <v>0</v>
      </c>
      <c r="P62" s="16">
        <f t="shared" si="263"/>
        <v>0</v>
      </c>
      <c r="Q62" s="12">
        <f t="shared" si="264"/>
        <v>0</v>
      </c>
      <c r="R62" s="18">
        <f t="shared" si="265"/>
        <v>0</v>
      </c>
      <c r="S62" s="114"/>
      <c r="V62" s="4" t="str">
        <f t="shared" si="266"/>
        <v/>
      </c>
      <c r="X62" s="4">
        <f t="shared" si="267"/>
        <v>0</v>
      </c>
      <c r="Y62" s="20">
        <f t="shared" si="268"/>
        <v>0</v>
      </c>
      <c r="AA62" s="4">
        <f t="shared" si="269"/>
        <v>0</v>
      </c>
      <c r="AB62" s="4">
        <f t="shared" si="270"/>
        <v>0</v>
      </c>
      <c r="AD62" s="4">
        <f t="shared" si="271"/>
        <v>0</v>
      </c>
      <c r="AE62" s="4">
        <f t="shared" si="272"/>
        <v>0</v>
      </c>
      <c r="AG62" s="4">
        <f t="shared" si="273"/>
        <v>0</v>
      </c>
      <c r="AH62" s="4">
        <f t="shared" si="274"/>
        <v>0</v>
      </c>
      <c r="AI62" s="109"/>
      <c r="AJ62" s="4">
        <f t="shared" si="275"/>
        <v>0</v>
      </c>
      <c r="AK62" s="4">
        <f t="shared" si="276"/>
        <v>0</v>
      </c>
      <c r="AM62" s="4">
        <f t="shared" si="277"/>
        <v>0</v>
      </c>
      <c r="AN62" s="4">
        <f t="shared" si="278"/>
        <v>0</v>
      </c>
      <c r="AP62" s="4">
        <f t="shared" si="279"/>
        <v>0</v>
      </c>
      <c r="AQ62" s="4">
        <f t="shared" si="280"/>
        <v>0</v>
      </c>
      <c r="AS62" s="4">
        <f t="shared" si="281"/>
        <v>0</v>
      </c>
      <c r="AT62" s="4">
        <f t="shared" si="282"/>
        <v>0</v>
      </c>
      <c r="AV62" s="4">
        <f t="shared" si="283"/>
        <v>0</v>
      </c>
      <c r="AW62" s="4">
        <f t="shared" si="284"/>
        <v>0</v>
      </c>
      <c r="BA62" s="4">
        <f t="shared" si="285"/>
        <v>0</v>
      </c>
      <c r="BB62" s="4">
        <f t="shared" si="286"/>
        <v>0</v>
      </c>
      <c r="BF62" s="4">
        <f t="shared" si="287"/>
        <v>0</v>
      </c>
      <c r="BG62" s="4">
        <f t="shared" si="288"/>
        <v>0</v>
      </c>
      <c r="BI62" s="4">
        <f t="shared" si="289"/>
        <v>0</v>
      </c>
      <c r="BJ62" s="4">
        <f t="shared" si="290"/>
        <v>0</v>
      </c>
      <c r="BK62" s="111"/>
      <c r="BM62" s="4" t="str">
        <f>IF(ISNUMBER(BL62),_xlfn.XLOOKUP(A62,Unit_Codes[Unit Codes],Unit_Codes[CWS Hrs. Per Student],0),"")</f>
        <v/>
      </c>
      <c r="BN62" s="4">
        <f t="shared" si="291"/>
        <v>0</v>
      </c>
      <c r="BO62" s="20">
        <f t="shared" si="292"/>
        <v>0</v>
      </c>
      <c r="BQ62" s="20">
        <f t="shared" si="293"/>
        <v>0</v>
      </c>
    </row>
    <row r="63" spans="2:69" x14ac:dyDescent="0.25">
      <c r="B63" s="105" t="s">
        <v>221</v>
      </c>
      <c r="D63" t="str">
        <f>_xlfn.XLOOKUP(A63,Unit_Codes[Unit Codes],Unit_Codes[Enrolment '# (29.04.24)],"",0)</f>
        <v/>
      </c>
      <c r="E63" t="str">
        <f t="shared" si="253"/>
        <v/>
      </c>
      <c r="F63" t="str">
        <f t="shared" si="254"/>
        <v/>
      </c>
      <c r="G63">
        <f>COUNTIF($F$3:F63,F63)</f>
        <v>27</v>
      </c>
      <c r="H63" s="52" t="str">
        <f t="shared" si="255"/>
        <v>27</v>
      </c>
      <c r="I63" s="5">
        <f t="shared" si="256"/>
        <v>0</v>
      </c>
      <c r="J63" s="5">
        <f t="shared" si="257"/>
        <v>0</v>
      </c>
      <c r="K63" s="10">
        <f t="shared" si="258"/>
        <v>0</v>
      </c>
      <c r="L63" s="10">
        <f t="shared" si="259"/>
        <v>0</v>
      </c>
      <c r="M63" s="14">
        <f t="shared" si="260"/>
        <v>0</v>
      </c>
      <c r="N63" s="14">
        <f t="shared" si="261"/>
        <v>0</v>
      </c>
      <c r="O63" s="16">
        <f t="shared" si="262"/>
        <v>0</v>
      </c>
      <c r="P63" s="16">
        <f t="shared" si="263"/>
        <v>0</v>
      </c>
      <c r="Q63" s="12">
        <f t="shared" si="264"/>
        <v>0</v>
      </c>
      <c r="R63" s="18">
        <f t="shared" si="265"/>
        <v>0</v>
      </c>
      <c r="S63" s="114"/>
      <c r="V63" s="4" t="str">
        <f t="shared" si="266"/>
        <v/>
      </c>
      <c r="X63" s="4">
        <f t="shared" si="267"/>
        <v>0</v>
      </c>
      <c r="Y63" s="20">
        <f t="shared" si="268"/>
        <v>0</v>
      </c>
      <c r="AA63" s="4">
        <f t="shared" si="269"/>
        <v>0</v>
      </c>
      <c r="AB63" s="4">
        <f t="shared" si="270"/>
        <v>0</v>
      </c>
      <c r="AD63" s="4">
        <f t="shared" si="271"/>
        <v>0</v>
      </c>
      <c r="AE63" s="4">
        <f t="shared" si="272"/>
        <v>0</v>
      </c>
      <c r="AG63" s="4">
        <f t="shared" si="273"/>
        <v>0</v>
      </c>
      <c r="AH63" s="4">
        <f t="shared" si="274"/>
        <v>0</v>
      </c>
      <c r="AI63" s="109"/>
      <c r="AJ63" s="4">
        <f t="shared" si="275"/>
        <v>0</v>
      </c>
      <c r="AK63" s="4">
        <f t="shared" si="276"/>
        <v>0</v>
      </c>
      <c r="AM63" s="4">
        <f t="shared" si="277"/>
        <v>0</v>
      </c>
      <c r="AN63" s="4">
        <f t="shared" si="278"/>
        <v>0</v>
      </c>
      <c r="AP63" s="4">
        <f t="shared" si="279"/>
        <v>0</v>
      </c>
      <c r="AQ63" s="4">
        <f t="shared" si="280"/>
        <v>0</v>
      </c>
      <c r="AS63" s="4">
        <f t="shared" si="281"/>
        <v>0</v>
      </c>
      <c r="AT63" s="4">
        <f t="shared" si="282"/>
        <v>0</v>
      </c>
      <c r="AV63" s="4">
        <f t="shared" si="283"/>
        <v>0</v>
      </c>
      <c r="AW63" s="4">
        <f t="shared" si="284"/>
        <v>0</v>
      </c>
      <c r="BA63" s="4">
        <f t="shared" si="285"/>
        <v>0</v>
      </c>
      <c r="BB63" s="4">
        <f t="shared" si="286"/>
        <v>0</v>
      </c>
      <c r="BF63" s="4">
        <f t="shared" si="287"/>
        <v>0</v>
      </c>
      <c r="BG63" s="4">
        <f t="shared" si="288"/>
        <v>0</v>
      </c>
      <c r="BI63" s="4">
        <f t="shared" si="289"/>
        <v>0</v>
      </c>
      <c r="BJ63" s="4">
        <f t="shared" si="290"/>
        <v>0</v>
      </c>
      <c r="BK63" s="111"/>
      <c r="BM63" s="4" t="str">
        <f>IF(ISNUMBER(BL63),_xlfn.XLOOKUP(A63,Unit_Codes[Unit Codes],Unit_Codes[CWS Hrs. Per Student],0),"")</f>
        <v/>
      </c>
      <c r="BN63" s="4">
        <f t="shared" si="291"/>
        <v>0</v>
      </c>
      <c r="BO63" s="20">
        <f t="shared" si="292"/>
        <v>0</v>
      </c>
      <c r="BQ63" s="20">
        <f t="shared" si="293"/>
        <v>0</v>
      </c>
    </row>
    <row r="64" spans="2:69" x14ac:dyDescent="0.25">
      <c r="B64" s="105" t="s">
        <v>221</v>
      </c>
      <c r="D64" t="str">
        <f>_xlfn.XLOOKUP(A64,Unit_Codes[Unit Codes],Unit_Codes[Enrolment '# (29.04.24)],"",0)</f>
        <v/>
      </c>
      <c r="E64" t="str">
        <f t="shared" si="253"/>
        <v/>
      </c>
      <c r="F64" t="str">
        <f t="shared" si="254"/>
        <v/>
      </c>
      <c r="G64">
        <f>COUNTIF($F$3:F64,F64)</f>
        <v>28</v>
      </c>
      <c r="H64" s="52" t="str">
        <f t="shared" si="255"/>
        <v>28</v>
      </c>
      <c r="I64" s="5">
        <f t="shared" si="256"/>
        <v>0</v>
      </c>
      <c r="J64" s="5">
        <f t="shared" si="257"/>
        <v>0</v>
      </c>
      <c r="K64" s="10">
        <f t="shared" si="258"/>
        <v>0</v>
      </c>
      <c r="L64" s="10">
        <f t="shared" si="259"/>
        <v>0</v>
      </c>
      <c r="M64" s="14">
        <f t="shared" si="260"/>
        <v>0</v>
      </c>
      <c r="N64" s="14">
        <f t="shared" si="261"/>
        <v>0</v>
      </c>
      <c r="O64" s="16">
        <f t="shared" si="262"/>
        <v>0</v>
      </c>
      <c r="P64" s="16">
        <f t="shared" si="263"/>
        <v>0</v>
      </c>
      <c r="Q64" s="12">
        <f t="shared" si="264"/>
        <v>0</v>
      </c>
      <c r="R64" s="18">
        <f t="shared" si="265"/>
        <v>0</v>
      </c>
      <c r="S64" s="114"/>
      <c r="V64" s="4" t="str">
        <f t="shared" si="266"/>
        <v/>
      </c>
      <c r="X64" s="4">
        <f t="shared" si="267"/>
        <v>0</v>
      </c>
      <c r="Y64" s="20">
        <f t="shared" si="268"/>
        <v>0</v>
      </c>
      <c r="AA64" s="4">
        <f t="shared" si="269"/>
        <v>0</v>
      </c>
      <c r="AB64" s="4">
        <f t="shared" si="270"/>
        <v>0</v>
      </c>
      <c r="AD64" s="4">
        <f t="shared" si="271"/>
        <v>0</v>
      </c>
      <c r="AE64" s="4">
        <f t="shared" si="272"/>
        <v>0</v>
      </c>
      <c r="AG64" s="4">
        <f t="shared" si="273"/>
        <v>0</v>
      </c>
      <c r="AH64" s="4">
        <f t="shared" si="274"/>
        <v>0</v>
      </c>
      <c r="AI64" s="109"/>
      <c r="AJ64" s="4">
        <f t="shared" si="275"/>
        <v>0</v>
      </c>
      <c r="AK64" s="4">
        <f t="shared" si="276"/>
        <v>0</v>
      </c>
      <c r="AM64" s="4">
        <f t="shared" si="277"/>
        <v>0</v>
      </c>
      <c r="AN64" s="4">
        <f t="shared" si="278"/>
        <v>0</v>
      </c>
      <c r="AP64" s="4">
        <f t="shared" si="279"/>
        <v>0</v>
      </c>
      <c r="AQ64" s="4">
        <f t="shared" si="280"/>
        <v>0</v>
      </c>
      <c r="AS64" s="4">
        <f t="shared" si="281"/>
        <v>0</v>
      </c>
      <c r="AT64" s="4">
        <f t="shared" si="282"/>
        <v>0</v>
      </c>
      <c r="AV64" s="4">
        <f t="shared" si="283"/>
        <v>0</v>
      </c>
      <c r="AW64" s="4">
        <f t="shared" si="284"/>
        <v>0</v>
      </c>
      <c r="BA64" s="4">
        <f t="shared" si="285"/>
        <v>0</v>
      </c>
      <c r="BB64" s="4">
        <f t="shared" si="286"/>
        <v>0</v>
      </c>
      <c r="BF64" s="4">
        <f t="shared" si="287"/>
        <v>0</v>
      </c>
      <c r="BG64" s="4">
        <f t="shared" si="288"/>
        <v>0</v>
      </c>
      <c r="BI64" s="4">
        <f t="shared" si="289"/>
        <v>0</v>
      </c>
      <c r="BJ64" s="4">
        <f t="shared" si="290"/>
        <v>0</v>
      </c>
      <c r="BK64" s="111"/>
      <c r="BM64" s="4" t="str">
        <f>IF(ISNUMBER(BL64),_xlfn.XLOOKUP(A64,Unit_Codes[Unit Codes],Unit_Codes[CWS Hrs. Per Student],0),"")</f>
        <v/>
      </c>
      <c r="BN64" s="4">
        <f t="shared" si="291"/>
        <v>0</v>
      </c>
      <c r="BO64" s="20">
        <f t="shared" si="292"/>
        <v>0</v>
      </c>
      <c r="BQ64" s="20">
        <f t="shared" si="293"/>
        <v>0</v>
      </c>
    </row>
    <row r="65" spans="1:69" x14ac:dyDescent="0.25">
      <c r="B65" s="105" t="s">
        <v>221</v>
      </c>
      <c r="D65" t="str">
        <f>_xlfn.XLOOKUP(A65,Unit_Codes[Unit Codes],Unit_Codes[Enrolment '# (29.04.24)],"",0)</f>
        <v/>
      </c>
      <c r="E65" t="str">
        <f t="shared" si="253"/>
        <v/>
      </c>
      <c r="F65" t="str">
        <f t="shared" si="254"/>
        <v/>
      </c>
      <c r="G65">
        <f>COUNTIF($F$3:F65,F65)</f>
        <v>29</v>
      </c>
      <c r="H65" s="52" t="str">
        <f t="shared" si="255"/>
        <v>29</v>
      </c>
      <c r="I65" s="5">
        <f t="shared" si="256"/>
        <v>0</v>
      </c>
      <c r="J65" s="5">
        <f t="shared" si="257"/>
        <v>0</v>
      </c>
      <c r="K65" s="10">
        <f t="shared" si="258"/>
        <v>0</v>
      </c>
      <c r="L65" s="10">
        <f t="shared" si="259"/>
        <v>0</v>
      </c>
      <c r="M65" s="14">
        <f t="shared" si="260"/>
        <v>0</v>
      </c>
      <c r="N65" s="14">
        <f t="shared" si="261"/>
        <v>0</v>
      </c>
      <c r="O65" s="16">
        <f t="shared" si="262"/>
        <v>0</v>
      </c>
      <c r="P65" s="16">
        <f t="shared" si="263"/>
        <v>0</v>
      </c>
      <c r="Q65" s="12">
        <f t="shared" si="264"/>
        <v>0</v>
      </c>
      <c r="R65" s="18">
        <f t="shared" si="265"/>
        <v>0</v>
      </c>
      <c r="S65" s="114"/>
      <c r="V65" s="4" t="str">
        <f t="shared" si="266"/>
        <v/>
      </c>
      <c r="X65" s="4">
        <f t="shared" si="267"/>
        <v>0</v>
      </c>
      <c r="Y65" s="20">
        <f t="shared" si="268"/>
        <v>0</v>
      </c>
      <c r="AA65" s="4">
        <f t="shared" si="269"/>
        <v>0</v>
      </c>
      <c r="AB65" s="4">
        <f t="shared" si="270"/>
        <v>0</v>
      </c>
      <c r="AD65" s="4">
        <f t="shared" si="271"/>
        <v>0</v>
      </c>
      <c r="AE65" s="4">
        <f t="shared" si="272"/>
        <v>0</v>
      </c>
      <c r="AG65" s="4">
        <f t="shared" si="273"/>
        <v>0</v>
      </c>
      <c r="AH65" s="4">
        <f t="shared" si="274"/>
        <v>0</v>
      </c>
      <c r="AI65" s="109"/>
      <c r="AJ65" s="4">
        <f t="shared" si="275"/>
        <v>0</v>
      </c>
      <c r="AK65" s="4">
        <f t="shared" si="276"/>
        <v>0</v>
      </c>
      <c r="AM65" s="4">
        <f t="shared" si="277"/>
        <v>0</v>
      </c>
      <c r="AN65" s="4">
        <f t="shared" si="278"/>
        <v>0</v>
      </c>
      <c r="AP65" s="4">
        <f t="shared" si="279"/>
        <v>0</v>
      </c>
      <c r="AQ65" s="4">
        <f t="shared" si="280"/>
        <v>0</v>
      </c>
      <c r="AS65" s="4">
        <f t="shared" si="281"/>
        <v>0</v>
      </c>
      <c r="AT65" s="4">
        <f t="shared" si="282"/>
        <v>0</v>
      </c>
      <c r="AV65" s="4">
        <f t="shared" si="283"/>
        <v>0</v>
      </c>
      <c r="AW65" s="4">
        <f t="shared" si="284"/>
        <v>0</v>
      </c>
      <c r="BA65" s="4">
        <f t="shared" si="285"/>
        <v>0</v>
      </c>
      <c r="BB65" s="4">
        <f t="shared" si="286"/>
        <v>0</v>
      </c>
      <c r="BF65" s="4">
        <f t="shared" si="287"/>
        <v>0</v>
      </c>
      <c r="BG65" s="4">
        <f t="shared" si="288"/>
        <v>0</v>
      </c>
      <c r="BI65" s="4">
        <f t="shared" si="289"/>
        <v>0</v>
      </c>
      <c r="BJ65" s="4">
        <f t="shared" si="290"/>
        <v>0</v>
      </c>
      <c r="BK65" s="111"/>
      <c r="BM65" s="4" t="str">
        <f>IF(ISNUMBER(BL65),_xlfn.XLOOKUP(A65,Unit_Codes[Unit Codes],Unit_Codes[CWS Hrs. Per Student],0),"")</f>
        <v/>
      </c>
      <c r="BN65" s="4">
        <f t="shared" si="291"/>
        <v>0</v>
      </c>
      <c r="BO65" s="20">
        <f t="shared" si="292"/>
        <v>0</v>
      </c>
      <c r="BQ65" s="20">
        <f t="shared" si="293"/>
        <v>0</v>
      </c>
    </row>
    <row r="66" spans="1:69" x14ac:dyDescent="0.25">
      <c r="B66" s="105" t="s">
        <v>221</v>
      </c>
      <c r="D66" t="str">
        <f>_xlfn.XLOOKUP(A66,Unit_Codes[Unit Codes],Unit_Codes[Enrolment '# (29.04.24)],"",0)</f>
        <v/>
      </c>
      <c r="E66" t="str">
        <f t="shared" si="253"/>
        <v/>
      </c>
      <c r="F66" t="str">
        <f t="shared" si="254"/>
        <v/>
      </c>
      <c r="G66">
        <f>COUNTIF($F$3:F66,F66)</f>
        <v>30</v>
      </c>
      <c r="H66" s="52" t="str">
        <f t="shared" si="255"/>
        <v>30</v>
      </c>
      <c r="I66" s="5">
        <f t="shared" si="256"/>
        <v>0</v>
      </c>
      <c r="J66" s="5">
        <f t="shared" si="257"/>
        <v>0</v>
      </c>
      <c r="K66" s="10">
        <f t="shared" si="258"/>
        <v>0</v>
      </c>
      <c r="L66" s="10">
        <f t="shared" si="259"/>
        <v>0</v>
      </c>
      <c r="M66" s="14">
        <f t="shared" si="260"/>
        <v>0</v>
      </c>
      <c r="N66" s="14">
        <f t="shared" si="261"/>
        <v>0</v>
      </c>
      <c r="O66" s="16">
        <f t="shared" si="262"/>
        <v>0</v>
      </c>
      <c r="P66" s="16">
        <f t="shared" si="263"/>
        <v>0</v>
      </c>
      <c r="Q66" s="12">
        <f t="shared" si="264"/>
        <v>0</v>
      </c>
      <c r="R66" s="18">
        <f t="shared" si="265"/>
        <v>0</v>
      </c>
      <c r="S66" s="114"/>
      <c r="V66" s="4" t="str">
        <f t="shared" si="266"/>
        <v/>
      </c>
      <c r="X66" s="4">
        <f t="shared" si="267"/>
        <v>0</v>
      </c>
      <c r="Y66" s="20">
        <f t="shared" si="268"/>
        <v>0</v>
      </c>
      <c r="AA66" s="4">
        <f t="shared" si="269"/>
        <v>0</v>
      </c>
      <c r="AB66" s="4">
        <f t="shared" si="270"/>
        <v>0</v>
      </c>
      <c r="AD66" s="4">
        <f t="shared" si="271"/>
        <v>0</v>
      </c>
      <c r="AE66" s="4">
        <f t="shared" si="272"/>
        <v>0</v>
      </c>
      <c r="AG66" s="4">
        <f t="shared" si="273"/>
        <v>0</v>
      </c>
      <c r="AH66" s="4">
        <f t="shared" si="274"/>
        <v>0</v>
      </c>
      <c r="AI66" s="109"/>
      <c r="AJ66" s="4">
        <f t="shared" si="275"/>
        <v>0</v>
      </c>
      <c r="AK66" s="4">
        <f t="shared" si="276"/>
        <v>0</v>
      </c>
      <c r="AM66" s="4">
        <f t="shared" si="277"/>
        <v>0</v>
      </c>
      <c r="AN66" s="4">
        <f t="shared" si="278"/>
        <v>0</v>
      </c>
      <c r="AP66" s="4">
        <f t="shared" si="279"/>
        <v>0</v>
      </c>
      <c r="AQ66" s="4">
        <f t="shared" si="280"/>
        <v>0</v>
      </c>
      <c r="AS66" s="4">
        <f t="shared" si="281"/>
        <v>0</v>
      </c>
      <c r="AT66" s="4">
        <f t="shared" si="282"/>
        <v>0</v>
      </c>
      <c r="AV66" s="4">
        <f t="shared" si="283"/>
        <v>0</v>
      </c>
      <c r="AW66" s="4">
        <f t="shared" si="284"/>
        <v>0</v>
      </c>
      <c r="BA66" s="4">
        <f t="shared" si="285"/>
        <v>0</v>
      </c>
      <c r="BB66" s="4">
        <f t="shared" si="286"/>
        <v>0</v>
      </c>
      <c r="BF66" s="4">
        <f t="shared" si="287"/>
        <v>0</v>
      </c>
      <c r="BG66" s="4">
        <f t="shared" si="288"/>
        <v>0</v>
      </c>
      <c r="BI66" s="4">
        <f t="shared" si="289"/>
        <v>0</v>
      </c>
      <c r="BJ66" s="4">
        <f t="shared" si="290"/>
        <v>0</v>
      </c>
      <c r="BK66" s="111"/>
      <c r="BM66" s="4" t="str">
        <f>IF(ISNUMBER(BL66),_xlfn.XLOOKUP(A66,Unit_Codes[Unit Codes],Unit_Codes[CWS Hrs. Per Student],0),"")</f>
        <v/>
      </c>
      <c r="BN66" s="4">
        <f t="shared" si="291"/>
        <v>0</v>
      </c>
      <c r="BO66" s="20">
        <f t="shared" si="292"/>
        <v>0</v>
      </c>
      <c r="BQ66" s="20">
        <f t="shared" si="293"/>
        <v>0</v>
      </c>
    </row>
    <row r="67" spans="1:69" s="31" customFormat="1" ht="15.75" thickBot="1" x14ac:dyDescent="0.3">
      <c r="A67" s="106"/>
      <c r="B67" s="105" t="s">
        <v>221</v>
      </c>
      <c r="C67" s="106"/>
      <c r="D67" t="str">
        <f>_xlfn.XLOOKUP(A67,Unit_Codes[Unit Codes],Unit_Codes[Enrolment '# (29.04.24)],"",0)</f>
        <v/>
      </c>
      <c r="E67" s="31" t="str">
        <f t="shared" si="253"/>
        <v/>
      </c>
      <c r="F67" s="31" t="str">
        <f t="shared" si="254"/>
        <v/>
      </c>
      <c r="G67">
        <f>COUNTIF($F$3:F67,F67)</f>
        <v>31</v>
      </c>
      <c r="H67" s="54" t="str">
        <f t="shared" si="255"/>
        <v>31</v>
      </c>
      <c r="I67" s="5">
        <f t="shared" si="256"/>
        <v>0</v>
      </c>
      <c r="J67" s="32">
        <f t="shared" si="257"/>
        <v>0</v>
      </c>
      <c r="K67" s="33">
        <f t="shared" si="258"/>
        <v>0</v>
      </c>
      <c r="L67" s="33">
        <f t="shared" si="259"/>
        <v>0</v>
      </c>
      <c r="M67" s="14">
        <f t="shared" si="260"/>
        <v>0</v>
      </c>
      <c r="N67" s="34">
        <f t="shared" si="261"/>
        <v>0</v>
      </c>
      <c r="O67" s="35">
        <f t="shared" si="262"/>
        <v>0</v>
      </c>
      <c r="P67" s="35">
        <f t="shared" si="263"/>
        <v>0</v>
      </c>
      <c r="Q67" s="36">
        <f t="shared" si="264"/>
        <v>0</v>
      </c>
      <c r="R67" s="37">
        <f t="shared" si="265"/>
        <v>0</v>
      </c>
      <c r="S67" s="144"/>
      <c r="T67" s="106"/>
      <c r="U67" s="106"/>
      <c r="V67" s="4" t="str">
        <f t="shared" si="266"/>
        <v/>
      </c>
      <c r="W67" s="106"/>
      <c r="X67" s="38">
        <f t="shared" si="267"/>
        <v>0</v>
      </c>
      <c r="Y67" s="39">
        <f t="shared" si="268"/>
        <v>0</v>
      </c>
      <c r="Z67" s="106"/>
      <c r="AA67" s="38">
        <f t="shared" si="269"/>
        <v>0</v>
      </c>
      <c r="AB67" s="38">
        <f t="shared" si="270"/>
        <v>0</v>
      </c>
      <c r="AC67" s="106"/>
      <c r="AD67" s="38">
        <f t="shared" si="271"/>
        <v>0</v>
      </c>
      <c r="AE67" s="38">
        <f t="shared" si="272"/>
        <v>0</v>
      </c>
      <c r="AF67" s="106"/>
      <c r="AG67" s="38">
        <f t="shared" si="273"/>
        <v>0</v>
      </c>
      <c r="AH67" s="38">
        <f t="shared" si="274"/>
        <v>0</v>
      </c>
      <c r="AI67" s="110"/>
      <c r="AJ67" s="38">
        <f t="shared" si="275"/>
        <v>0</v>
      </c>
      <c r="AK67" s="38">
        <f t="shared" si="276"/>
        <v>0</v>
      </c>
      <c r="AL67" s="106"/>
      <c r="AM67" s="38">
        <f t="shared" si="277"/>
        <v>0</v>
      </c>
      <c r="AN67" s="38">
        <f t="shared" si="278"/>
        <v>0</v>
      </c>
      <c r="AO67" s="106"/>
      <c r="AP67" s="38">
        <f t="shared" si="279"/>
        <v>0</v>
      </c>
      <c r="AQ67" s="38">
        <f t="shared" si="280"/>
        <v>0</v>
      </c>
      <c r="AR67" s="106"/>
      <c r="AS67" s="38">
        <f t="shared" si="281"/>
        <v>0</v>
      </c>
      <c r="AT67" s="38">
        <f t="shared" si="282"/>
        <v>0</v>
      </c>
      <c r="AU67" s="106"/>
      <c r="AV67" s="38">
        <f t="shared" si="283"/>
        <v>0</v>
      </c>
      <c r="AW67" s="38">
        <f t="shared" si="284"/>
        <v>0</v>
      </c>
      <c r="AX67" s="106"/>
      <c r="AY67" s="106"/>
      <c r="AZ67" s="106"/>
      <c r="BA67" s="38">
        <f t="shared" si="285"/>
        <v>0</v>
      </c>
      <c r="BB67" s="38">
        <f t="shared" si="286"/>
        <v>0</v>
      </c>
      <c r="BC67" s="106"/>
      <c r="BD67" s="106"/>
      <c r="BE67" s="106"/>
      <c r="BF67" s="38">
        <f t="shared" si="287"/>
        <v>0</v>
      </c>
      <c r="BG67" s="38">
        <f t="shared" si="288"/>
        <v>0</v>
      </c>
      <c r="BH67" s="106"/>
      <c r="BI67" s="38">
        <f t="shared" si="289"/>
        <v>0</v>
      </c>
      <c r="BJ67" s="38">
        <f t="shared" si="290"/>
        <v>0</v>
      </c>
      <c r="BK67" s="112"/>
      <c r="BL67" s="106"/>
      <c r="BM67" s="4" t="str">
        <f>IF(ISNUMBER(BL67),_xlfn.XLOOKUP(A67,Unit_Codes[Unit Codes],Unit_Codes[CWS Hrs. Per Student],0),"")</f>
        <v/>
      </c>
      <c r="BN67" s="4">
        <f t="shared" si="291"/>
        <v>0</v>
      </c>
      <c r="BO67" s="39">
        <f t="shared" si="292"/>
        <v>0</v>
      </c>
      <c r="BP67" s="106"/>
      <c r="BQ67" s="39">
        <f t="shared" si="293"/>
        <v>0</v>
      </c>
    </row>
  </sheetData>
  <sheetProtection formatCells="0" autoFilter="0" pivotTables="0"/>
  <autoFilter ref="A2:BQ67" xr:uid="{C7FD8783-BC95-4E80-AA16-6A586948C757}"/>
  <mergeCells count="19">
    <mergeCell ref="BP1:BQ1"/>
    <mergeCell ref="M1:N1"/>
    <mergeCell ref="Q1:R1"/>
    <mergeCell ref="O1:P1"/>
    <mergeCell ref="K1:L1"/>
    <mergeCell ref="BK1:BO1"/>
    <mergeCell ref="AL1:AN1"/>
    <mergeCell ref="AU1:AW1"/>
    <mergeCell ref="Z1:AB1"/>
    <mergeCell ref="AC1:AE1"/>
    <mergeCell ref="AF1:AH1"/>
    <mergeCell ref="AX1:BB1"/>
    <mergeCell ref="BC1:BG1"/>
    <mergeCell ref="AI1:AK1"/>
    <mergeCell ref="AO1:AQ1"/>
    <mergeCell ref="AR1:AT1"/>
    <mergeCell ref="BH1:BJ1"/>
    <mergeCell ref="I1:J1"/>
    <mergeCell ref="T1:Y1"/>
  </mergeCells>
  <phoneticPr fontId="5" type="noConversion"/>
  <dataValidations count="4">
    <dataValidation type="list" allowBlank="1" showInputMessage="1" showErrorMessage="1" promptTitle="Instructions" prompt="If Academic Staff is selected enter the Staff Member in Column C." sqref="B3:B67" xr:uid="{C8BF6752-D62C-4A55-80CB-15C5DE3B8277}">
      <formula1>INDIRECT("Staff_Type")</formula1>
    </dataValidation>
    <dataValidation type="decimal" allowBlank="1" showInputMessage="1" showErrorMessage="1" sqref="W3:W67" xr:uid="{25A80709-3F7F-458A-9986-DC13B2ADB95A}">
      <formula1>0</formula1>
      <formula2>1</formula2>
    </dataValidation>
    <dataValidation type="list" allowBlank="1" showInputMessage="1" showErrorMessage="1" sqref="T3:T67" xr:uid="{60EC36B8-0A65-47D4-BE8D-33554FC9DA26}">
      <formula1>"Yes, No"</formula1>
    </dataValidation>
    <dataValidation type="whole" allowBlank="1" showInputMessage="1" showErrorMessage="1" sqref="U3:U1048576" xr:uid="{E0487862-F4B8-4AEB-9724-667744F1AF31}">
      <formula1>0</formula1>
      <formula2>1000</formula2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Instructions" prompt="If you are entering data for an Academic Staff member - select staff member. _x000a__x000a_To control the name that appears in the drop down options see the instructions for cell C1._x000a__x000a_Staff teaching in multiple units can be entered in multiple rows." xr:uid="{10E51260-3DDC-4878-BD76-B53F4B7FDD0A}">
          <x14:formula1>
            <xm:f>IF($C$1&lt;&gt;"",_xlfn.ANCHORARRAY('Source Information - Staff'!$M$2),INDIRECT("Staff_Name[Staff Member]"))</xm:f>
          </x14:formula1>
          <xm:sqref>C3:C67</xm:sqref>
        </x14:dataValidation>
        <x14:dataValidation type="list" allowBlank="1" showInputMessage="1" showErrorMessage="1" promptTitle="Instructions" prompt="Select unit code._x000a__x000a_To control the code that appears in the drop down options see the instructions for cell A1." xr:uid="{E31AB99E-F924-422E-ABDF-FEB78D9B095B}">
          <x14:formula1>
            <xm:f>IF($A$1&lt;&gt;"",_xlfn.ANCHORARRAY('Source Information - Units'!$H$2),INDIRECT("Unit_Codes[Unit Codes]"))</xm:f>
          </x14:formula1>
          <xm:sqref>A3:A67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11EC4-2FD1-473A-A3AC-814F5C97849F}">
  <sheetPr codeName="Sheet7"/>
  <dimension ref="A1:L34"/>
  <sheetViews>
    <sheetView workbookViewId="0">
      <selection activeCell="A29" sqref="A29"/>
    </sheetView>
  </sheetViews>
  <sheetFormatPr defaultRowHeight="15" x14ac:dyDescent="0.25"/>
  <cols>
    <col min="1" max="1" width="30.85546875" customWidth="1"/>
    <col min="2" max="2" width="12.5703125" style="105" customWidth="1"/>
    <col min="3" max="5" width="12.28515625" style="105" customWidth="1"/>
    <col min="6" max="6" width="10.42578125" customWidth="1"/>
    <col min="7" max="7" width="8" style="52" customWidth="1"/>
    <col min="10" max="10" width="20.140625" customWidth="1"/>
  </cols>
  <sheetData>
    <row r="1" spans="1:12" ht="45.6" customHeight="1" thickBot="1" x14ac:dyDescent="0.3">
      <c r="A1" s="51"/>
      <c r="B1" s="198" t="s">
        <v>347</v>
      </c>
      <c r="C1" s="199"/>
      <c r="D1" s="199"/>
      <c r="E1" s="199"/>
      <c r="F1" s="199"/>
      <c r="G1" s="199"/>
      <c r="J1" s="8" t="s">
        <v>348</v>
      </c>
      <c r="K1" s="71" t="s">
        <v>349</v>
      </c>
      <c r="L1" s="63" t="s">
        <v>350</v>
      </c>
    </row>
    <row r="2" spans="1:12" ht="45.6" customHeight="1" x14ac:dyDescent="0.25">
      <c r="A2" s="72"/>
      <c r="B2" s="200" t="s">
        <v>351</v>
      </c>
      <c r="C2" s="201"/>
      <c r="D2" s="202" t="s">
        <v>352</v>
      </c>
      <c r="E2" s="201"/>
      <c r="F2" s="73"/>
      <c r="G2" s="74"/>
      <c r="J2" s="66" t="s">
        <v>353</v>
      </c>
      <c r="K2" s="66">
        <v>5</v>
      </c>
      <c r="L2" s="66">
        <f>K2*17.25</f>
        <v>86.25</v>
      </c>
    </row>
    <row r="3" spans="1:12" ht="60" x14ac:dyDescent="0.25">
      <c r="A3" s="75" t="s">
        <v>5</v>
      </c>
      <c r="B3" s="76" t="s">
        <v>342</v>
      </c>
      <c r="C3" s="77" t="s">
        <v>343</v>
      </c>
      <c r="D3" s="78" t="s">
        <v>342</v>
      </c>
      <c r="E3" s="77" t="s">
        <v>343</v>
      </c>
      <c r="F3" s="8" t="s">
        <v>345</v>
      </c>
      <c r="G3" s="19" t="s">
        <v>330</v>
      </c>
      <c r="J3" s="66" t="s">
        <v>354</v>
      </c>
      <c r="K3" s="66">
        <v>2.5</v>
      </c>
      <c r="L3" s="66">
        <f>K3*17.25</f>
        <v>43.125</v>
      </c>
    </row>
    <row r="4" spans="1:12" x14ac:dyDescent="0.25">
      <c r="A4" s="79" t="str" cm="1">
        <f t="array" ref="A4:A34">_xlfn._xlws.FILTER(Staff_Name[Staff Member],ISERROR(SEARCH("Academic NA",Staff_Name[Staff Member])),"")</f>
        <v>Dummy, 01, 00000001</v>
      </c>
      <c r="B4" s="105">
        <v>2</v>
      </c>
      <c r="C4" s="113">
        <v>0.8</v>
      </c>
      <c r="D4" s="105">
        <v>0</v>
      </c>
      <c r="E4" s="105">
        <v>0</v>
      </c>
      <c r="F4" s="4">
        <f>(C4*$L$2)+(E4*$L$3)</f>
        <v>69</v>
      </c>
      <c r="G4" s="80">
        <f t="shared" ref="G4:G21" si="0">F4/17.25</f>
        <v>4</v>
      </c>
    </row>
    <row r="5" spans="1:12" x14ac:dyDescent="0.25">
      <c r="A5" s="79" t="str">
        <v>Dummy, 02, 00000002</v>
      </c>
      <c r="B5" s="111"/>
      <c r="C5" s="114"/>
      <c r="F5" s="4">
        <f t="shared" ref="F5:F21" si="1">(C5*$L$2)+(E5*$L$3)</f>
        <v>0</v>
      </c>
      <c r="G5" s="20">
        <f t="shared" si="0"/>
        <v>0</v>
      </c>
    </row>
    <row r="6" spans="1:12" x14ac:dyDescent="0.25">
      <c r="A6" s="79" t="str">
        <v>Dummy, 03, 00000003</v>
      </c>
      <c r="B6" s="111">
        <v>1</v>
      </c>
      <c r="C6" s="114">
        <v>0.2</v>
      </c>
      <c r="F6" s="4">
        <f t="shared" si="1"/>
        <v>17.25</v>
      </c>
      <c r="G6" s="20">
        <f t="shared" si="0"/>
        <v>1</v>
      </c>
    </row>
    <row r="7" spans="1:12" x14ac:dyDescent="0.25">
      <c r="A7" s="79" t="str">
        <v>Dummy, 04, 00000004</v>
      </c>
      <c r="B7" s="111">
        <v>2</v>
      </c>
      <c r="C7" s="114">
        <v>1</v>
      </c>
      <c r="F7" s="4">
        <f t="shared" si="1"/>
        <v>86.25</v>
      </c>
      <c r="G7" s="20">
        <f t="shared" si="0"/>
        <v>5</v>
      </c>
    </row>
    <row r="8" spans="1:12" x14ac:dyDescent="0.25">
      <c r="A8" s="79" t="str">
        <v>Dummy, 05, 00000005</v>
      </c>
      <c r="B8" s="111">
        <v>10</v>
      </c>
      <c r="C8" s="114">
        <v>4.95</v>
      </c>
      <c r="D8" s="105">
        <v>2</v>
      </c>
      <c r="E8" s="105">
        <v>0.4</v>
      </c>
      <c r="F8" s="4">
        <f t="shared" si="1"/>
        <v>444.1875</v>
      </c>
      <c r="G8" s="20">
        <f t="shared" si="0"/>
        <v>25.75</v>
      </c>
    </row>
    <row r="9" spans="1:12" x14ac:dyDescent="0.25">
      <c r="A9" s="79" t="str">
        <v>Dummy, 06, 00000006</v>
      </c>
      <c r="B9" s="111">
        <v>1</v>
      </c>
      <c r="C9" s="114">
        <v>0.2</v>
      </c>
      <c r="F9" s="4">
        <f t="shared" si="1"/>
        <v>17.25</v>
      </c>
      <c r="G9" s="20">
        <f t="shared" si="0"/>
        <v>1</v>
      </c>
    </row>
    <row r="10" spans="1:12" x14ac:dyDescent="0.25">
      <c r="A10" s="79" t="str">
        <v>Dummy, 07, 00000007</v>
      </c>
      <c r="B10" s="143">
        <v>3</v>
      </c>
      <c r="C10" s="143">
        <v>1.05</v>
      </c>
      <c r="F10" s="4">
        <f t="shared" si="1"/>
        <v>90.5625</v>
      </c>
      <c r="G10" s="20">
        <f t="shared" si="0"/>
        <v>5.25</v>
      </c>
    </row>
    <row r="11" spans="1:12" x14ac:dyDescent="0.25">
      <c r="A11" s="79" t="str">
        <v>Dummy, 08, 00000008</v>
      </c>
      <c r="B11" s="111">
        <v>4</v>
      </c>
      <c r="C11" s="114">
        <v>1.45</v>
      </c>
      <c r="D11" s="105">
        <v>1</v>
      </c>
      <c r="E11" s="105">
        <v>0.4</v>
      </c>
      <c r="F11" s="4">
        <f t="shared" si="1"/>
        <v>142.3125</v>
      </c>
      <c r="G11" s="20">
        <f t="shared" si="0"/>
        <v>8.25</v>
      </c>
    </row>
    <row r="12" spans="1:12" x14ac:dyDescent="0.25">
      <c r="A12" s="79" t="str">
        <v>Dummy, 09, 00000009</v>
      </c>
      <c r="B12" s="111">
        <v>1</v>
      </c>
      <c r="C12" s="114">
        <v>0.5</v>
      </c>
      <c r="D12" s="105">
        <v>1</v>
      </c>
      <c r="E12" s="105">
        <v>0.5</v>
      </c>
      <c r="F12" s="4">
        <f t="shared" si="1"/>
        <v>64.6875</v>
      </c>
      <c r="G12" s="20">
        <f t="shared" si="0"/>
        <v>3.75</v>
      </c>
    </row>
    <row r="13" spans="1:12" x14ac:dyDescent="0.25">
      <c r="A13" s="79" t="str">
        <v>Dummy, 10, 00000010</v>
      </c>
      <c r="B13" s="111"/>
      <c r="C13" s="114"/>
      <c r="F13" s="4">
        <f t="shared" si="1"/>
        <v>0</v>
      </c>
      <c r="G13" s="20">
        <f t="shared" si="0"/>
        <v>0</v>
      </c>
    </row>
    <row r="14" spans="1:12" x14ac:dyDescent="0.25">
      <c r="A14" s="79" t="str">
        <v>Dummy, 11, 00000011</v>
      </c>
      <c r="B14" s="111"/>
      <c r="C14" s="114"/>
      <c r="F14" s="4">
        <f t="shared" si="1"/>
        <v>0</v>
      </c>
      <c r="G14" s="20">
        <f t="shared" si="0"/>
        <v>0</v>
      </c>
    </row>
    <row r="15" spans="1:12" x14ac:dyDescent="0.25">
      <c r="A15" s="79" t="str">
        <v>Dummy, 12, 00000012</v>
      </c>
      <c r="B15" s="111">
        <v>2</v>
      </c>
      <c r="C15" s="114">
        <v>1</v>
      </c>
      <c r="F15" s="4">
        <f t="shared" si="1"/>
        <v>86.25</v>
      </c>
      <c r="G15" s="20">
        <f t="shared" si="0"/>
        <v>5</v>
      </c>
    </row>
    <row r="16" spans="1:12" x14ac:dyDescent="0.25">
      <c r="A16" s="79" t="str">
        <v>Dummy, 13, 00000013</v>
      </c>
      <c r="B16" s="111">
        <v>4</v>
      </c>
      <c r="C16" s="114">
        <v>1.5</v>
      </c>
      <c r="F16" s="4">
        <f t="shared" si="1"/>
        <v>129.375</v>
      </c>
      <c r="G16" s="20">
        <f t="shared" si="0"/>
        <v>7.5</v>
      </c>
    </row>
    <row r="17" spans="1:7" x14ac:dyDescent="0.25">
      <c r="A17" s="79" t="str">
        <v>Dummy, 14, 00000014</v>
      </c>
      <c r="B17" s="111">
        <v>1</v>
      </c>
      <c r="C17" s="114">
        <v>0.5</v>
      </c>
      <c r="F17" s="4">
        <f t="shared" si="1"/>
        <v>43.125</v>
      </c>
      <c r="G17" s="20">
        <f t="shared" si="0"/>
        <v>2.5</v>
      </c>
    </row>
    <row r="18" spans="1:7" x14ac:dyDescent="0.25">
      <c r="A18" s="79" t="str">
        <v>Dummy, 15, 00000015</v>
      </c>
      <c r="B18" s="111"/>
      <c r="C18" s="114"/>
      <c r="F18" s="4">
        <f t="shared" si="1"/>
        <v>0</v>
      </c>
      <c r="G18" s="20">
        <f t="shared" si="0"/>
        <v>0</v>
      </c>
    </row>
    <row r="19" spans="1:7" x14ac:dyDescent="0.25">
      <c r="A19" s="79" t="str">
        <v>Dummy, 16, 00000016</v>
      </c>
      <c r="B19" s="111">
        <v>9</v>
      </c>
      <c r="C19" s="114">
        <v>3.5</v>
      </c>
      <c r="D19" s="105">
        <v>1</v>
      </c>
      <c r="E19" s="105">
        <v>0.4</v>
      </c>
      <c r="F19" s="4">
        <f t="shared" si="1"/>
        <v>319.125</v>
      </c>
      <c r="G19" s="20">
        <f t="shared" si="0"/>
        <v>18.5</v>
      </c>
    </row>
    <row r="20" spans="1:7" x14ac:dyDescent="0.25">
      <c r="A20" s="79" t="str">
        <v>Dummy, 17, 00000017</v>
      </c>
      <c r="B20" s="111">
        <v>1</v>
      </c>
      <c r="C20" s="114">
        <v>0.8</v>
      </c>
      <c r="F20" s="4">
        <f t="shared" si="1"/>
        <v>69</v>
      </c>
      <c r="G20" s="20">
        <f t="shared" si="0"/>
        <v>4</v>
      </c>
    </row>
    <row r="21" spans="1:7" x14ac:dyDescent="0.25">
      <c r="A21" s="79" t="str">
        <v>Dummy, 18, 00000018</v>
      </c>
      <c r="B21" s="111"/>
      <c r="C21" s="114"/>
      <c r="F21" s="4">
        <f t="shared" si="1"/>
        <v>0</v>
      </c>
      <c r="G21" s="20">
        <f t="shared" si="0"/>
        <v>0</v>
      </c>
    </row>
    <row r="22" spans="1:7" x14ac:dyDescent="0.25">
      <c r="A22" t="str">
        <v xml:space="preserve">, </v>
      </c>
    </row>
    <row r="23" spans="1:7" x14ac:dyDescent="0.25">
      <c r="A23">
        <v>0</v>
      </c>
    </row>
    <row r="24" spans="1:7" x14ac:dyDescent="0.25">
      <c r="A24">
        <v>0</v>
      </c>
    </row>
    <row r="25" spans="1:7" x14ac:dyDescent="0.25">
      <c r="A25">
        <v>0</v>
      </c>
    </row>
    <row r="26" spans="1:7" x14ac:dyDescent="0.25">
      <c r="A26">
        <v>0</v>
      </c>
    </row>
    <row r="27" spans="1:7" x14ac:dyDescent="0.25">
      <c r="A27">
        <v>0</v>
      </c>
    </row>
    <row r="28" spans="1:7" x14ac:dyDescent="0.25">
      <c r="A28">
        <v>0</v>
      </c>
    </row>
    <row r="29" spans="1:7" x14ac:dyDescent="0.25">
      <c r="A29">
        <v>0</v>
      </c>
    </row>
    <row r="30" spans="1:7" x14ac:dyDescent="0.25">
      <c r="A30">
        <v>0</v>
      </c>
    </row>
    <row r="31" spans="1:7" x14ac:dyDescent="0.25">
      <c r="A31">
        <v>0</v>
      </c>
    </row>
    <row r="32" spans="1:7" x14ac:dyDescent="0.25">
      <c r="A32">
        <v>0</v>
      </c>
    </row>
    <row r="33" spans="1:1" x14ac:dyDescent="0.25">
      <c r="A33">
        <v>0</v>
      </c>
    </row>
    <row r="34" spans="1:1" x14ac:dyDescent="0.25">
      <c r="A34">
        <v>0</v>
      </c>
    </row>
  </sheetData>
  <sheetProtection formatCells="0" autoFilter="0" pivotTables="0"/>
  <autoFilter ref="A3:G33" xr:uid="{78711EC4-2FD1-473A-A3AC-814F5C97849F}"/>
  <mergeCells count="3">
    <mergeCell ref="B1:G1"/>
    <mergeCell ref="B2:C2"/>
    <mergeCell ref="D2:E2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0A30-A0C6-4434-9896-BA8A6E597AC7}">
  <sheetPr codeName="Sheet8"/>
  <dimension ref="A1:P119"/>
  <sheetViews>
    <sheetView workbookViewId="0">
      <pane xSplit="2" ySplit="2" topLeftCell="C6" activePane="bottomRight" state="frozen"/>
      <selection pane="topRight" activeCell="D1" sqref="D1"/>
      <selection pane="bottomLeft" activeCell="A3" sqref="A3"/>
      <selection pane="bottomRight" activeCell="A21" sqref="A21"/>
    </sheetView>
  </sheetViews>
  <sheetFormatPr defaultRowHeight="15" x14ac:dyDescent="0.25"/>
  <cols>
    <col min="1" max="1" width="39.140625" customWidth="1"/>
    <col min="2" max="2" width="12.28515625" bestFit="1" customWidth="1"/>
    <col min="3" max="3" width="25.5703125" style="105" customWidth="1"/>
    <col min="4" max="4" width="28" customWidth="1"/>
    <col min="5" max="5" width="28.5703125" style="105" customWidth="1"/>
    <col min="6" max="6" width="8.5703125" bestFit="1" customWidth="1"/>
    <col min="7" max="7" width="26.7109375" style="105" customWidth="1"/>
    <col min="8" max="8" width="8.5703125" bestFit="1" customWidth="1"/>
    <col min="9" max="9" width="23" style="105" customWidth="1"/>
    <col min="10" max="10" width="8.5703125" bestFit="1" customWidth="1"/>
    <col min="11" max="11" width="23" style="105" customWidth="1"/>
    <col min="12" max="12" width="8.5703125" bestFit="1" customWidth="1"/>
    <col min="13" max="13" width="23" style="105" customWidth="1"/>
    <col min="14" max="14" width="8.5703125" bestFit="1" customWidth="1"/>
    <col min="15" max="15" width="23" style="105" customWidth="1"/>
    <col min="16" max="16" width="8.5703125" bestFit="1" customWidth="1"/>
  </cols>
  <sheetData>
    <row r="1" spans="1:16" ht="26.1" customHeight="1" x14ac:dyDescent="0.25">
      <c r="A1" s="51"/>
      <c r="B1" s="51"/>
      <c r="C1" s="62" t="s">
        <v>355</v>
      </c>
      <c r="D1" s="117"/>
      <c r="E1" s="203" t="s">
        <v>356</v>
      </c>
      <c r="F1" s="204"/>
      <c r="G1" s="203" t="s">
        <v>357</v>
      </c>
      <c r="H1" s="204"/>
      <c r="I1" s="203" t="s">
        <v>358</v>
      </c>
      <c r="J1" s="204"/>
      <c r="K1" s="203" t="s">
        <v>359</v>
      </c>
      <c r="L1" s="204"/>
      <c r="M1" s="203" t="s">
        <v>360</v>
      </c>
      <c r="N1" s="204"/>
      <c r="O1" s="203" t="s">
        <v>361</v>
      </c>
      <c r="P1" s="204"/>
    </row>
    <row r="2" spans="1:16" ht="30" x14ac:dyDescent="0.25">
      <c r="A2" s="25" t="s">
        <v>5</v>
      </c>
      <c r="B2" s="22" t="s">
        <v>6</v>
      </c>
      <c r="C2" s="23" t="s">
        <v>228</v>
      </c>
      <c r="D2" s="24" t="s">
        <v>362</v>
      </c>
      <c r="E2" s="1" t="s">
        <v>229</v>
      </c>
      <c r="F2" s="59" t="s">
        <v>230</v>
      </c>
      <c r="G2" s="1" t="s">
        <v>231</v>
      </c>
      <c r="H2" s="59" t="s">
        <v>232</v>
      </c>
      <c r="I2" s="1" t="s">
        <v>233</v>
      </c>
      <c r="J2" s="59" t="s">
        <v>234</v>
      </c>
      <c r="K2" s="1" t="s">
        <v>235</v>
      </c>
      <c r="L2" s="59" t="s">
        <v>236</v>
      </c>
      <c r="M2" s="1" t="s">
        <v>237</v>
      </c>
      <c r="N2" s="59" t="s">
        <v>238</v>
      </c>
      <c r="O2" s="1" t="s">
        <v>239</v>
      </c>
      <c r="P2" s="59" t="s">
        <v>240</v>
      </c>
    </row>
    <row r="3" spans="1:16" x14ac:dyDescent="0.25">
      <c r="A3" s="52" t="str" cm="1">
        <f t="array" ref="A3:A33">_xlfn._xlws.FILTER(Staff_Name[Staff Member],ISERROR(SEARCH("Academic NA",Staff_Name[Staff Member])),"")</f>
        <v>Dummy, 01, 00000001</v>
      </c>
      <c r="B3" s="4">
        <f>_xlfn.XLOOKUP(A3,'Source Information - Staff'!C:C,'Source Information - Staff'!F:F,"")</f>
        <v>1</v>
      </c>
      <c r="C3" s="115">
        <f>IFERROR((B3*10),"")</f>
        <v>10</v>
      </c>
      <c r="D3" s="14">
        <v>50</v>
      </c>
      <c r="E3" s="109" t="s">
        <v>241</v>
      </c>
      <c r="F3" s="4">
        <f>_xlfn.XLOOKUP(E3,Roles[ASSSIGNED ROLE],Roles[Points],"")</f>
        <v>2.89</v>
      </c>
      <c r="H3" s="4">
        <f>_xlfn.XLOOKUP(G3,Roles[ASSSIGNED ROLE],Roles[Points],"")</f>
        <v>0</v>
      </c>
      <c r="J3" s="4">
        <f>_xlfn.XLOOKUP(I3,Roles[ASSSIGNED ROLE],Roles[Points],"")</f>
        <v>0</v>
      </c>
      <c r="L3" s="4">
        <f>_xlfn.XLOOKUP(K3,Roles[ASSSIGNED ROLE],Roles[Points],"")</f>
        <v>0</v>
      </c>
      <c r="N3" s="4">
        <f>_xlfn.XLOOKUP(M3,Roles[ASSSIGNED ROLE],Roles[Points],"")</f>
        <v>0</v>
      </c>
      <c r="P3" s="4">
        <f>_xlfn.XLOOKUP(O3,Roles[ASSSIGNED ROLE],Roles[Points],"")</f>
        <v>0</v>
      </c>
    </row>
    <row r="4" spans="1:16" x14ac:dyDescent="0.25">
      <c r="A4" s="52" t="str">
        <v>Dummy, 02, 00000002</v>
      </c>
      <c r="B4" s="4">
        <f>_xlfn.XLOOKUP(A4,'Source Information - Staff'!C:C,'Source Information - Staff'!F:F,"")</f>
        <v>0.92</v>
      </c>
      <c r="C4" s="115">
        <f t="shared" ref="C4:C67" si="0">IFERROR((B4*10),"")</f>
        <v>9.2000000000000011</v>
      </c>
      <c r="D4" s="14">
        <f t="shared" ref="D4:D67" si="1">SUM(F4,H4,J4,L4,N4)</f>
        <v>0</v>
      </c>
      <c r="E4" s="109"/>
      <c r="F4" s="4">
        <f>_xlfn.XLOOKUP(E4,Roles[ASSSIGNED ROLE],Roles[Points],"")</f>
        <v>0</v>
      </c>
      <c r="H4" s="4">
        <f>_xlfn.XLOOKUP(G4,Roles[ASSSIGNED ROLE],Roles[Points],"")</f>
        <v>0</v>
      </c>
      <c r="J4" s="4">
        <f>_xlfn.XLOOKUP(I4,Roles[ASSSIGNED ROLE],Roles[Points],"")</f>
        <v>0</v>
      </c>
      <c r="L4" s="4">
        <f>_xlfn.XLOOKUP(K4,Roles[ASSSIGNED ROLE],Roles[Points],"")</f>
        <v>0</v>
      </c>
      <c r="N4" s="4">
        <f>_xlfn.XLOOKUP(M4,Roles[ASSSIGNED ROLE],Roles[Points],"")</f>
        <v>0</v>
      </c>
      <c r="P4" s="4">
        <f>_xlfn.XLOOKUP(O4,Roles[ASSSIGNED ROLE],Roles[Points],"")</f>
        <v>0</v>
      </c>
    </row>
    <row r="5" spans="1:16" x14ac:dyDescent="0.25">
      <c r="A5" s="52" t="str">
        <v>Dummy, 03, 00000003</v>
      </c>
      <c r="B5" s="4">
        <f>_xlfn.XLOOKUP(A5,'Source Information - Staff'!C:C,'Source Information - Staff'!F:F,"")</f>
        <v>0.92</v>
      </c>
      <c r="C5" s="115">
        <f t="shared" si="0"/>
        <v>9.2000000000000011</v>
      </c>
      <c r="D5" s="14">
        <f t="shared" si="1"/>
        <v>0</v>
      </c>
      <c r="E5" s="109"/>
      <c r="F5" s="4">
        <f>_xlfn.XLOOKUP(E5,Roles[ASSSIGNED ROLE],Roles[Points],"")</f>
        <v>0</v>
      </c>
      <c r="H5" s="4">
        <f>_xlfn.XLOOKUP(G5,Roles[ASSSIGNED ROLE],Roles[Points],"")</f>
        <v>0</v>
      </c>
      <c r="J5" s="4">
        <f>_xlfn.XLOOKUP(I5,Roles[ASSSIGNED ROLE],Roles[Points],"")</f>
        <v>0</v>
      </c>
      <c r="L5" s="4">
        <f>_xlfn.XLOOKUP(K5,Roles[ASSSIGNED ROLE],Roles[Points],"")</f>
        <v>0</v>
      </c>
      <c r="N5" s="4">
        <f>_xlfn.XLOOKUP(M5,Roles[ASSSIGNED ROLE],Roles[Points],"")</f>
        <v>0</v>
      </c>
      <c r="P5" s="4">
        <f>_xlfn.XLOOKUP(O5,Roles[ASSSIGNED ROLE],Roles[Points],"")</f>
        <v>0</v>
      </c>
    </row>
    <row r="6" spans="1:16" x14ac:dyDescent="0.25">
      <c r="A6" s="52" t="str">
        <v>Dummy, 04, 00000004</v>
      </c>
      <c r="B6" s="4">
        <f>_xlfn.XLOOKUP(A6,'Source Information - Staff'!C:C,'Source Information - Staff'!F:F,"")</f>
        <v>1</v>
      </c>
      <c r="C6" s="115">
        <f t="shared" si="0"/>
        <v>10</v>
      </c>
      <c r="D6" s="14">
        <f>SUM(F6,H6,J6,L6,N6)</f>
        <v>15.014492753623188</v>
      </c>
      <c r="E6" s="109" t="s">
        <v>246</v>
      </c>
      <c r="F6" s="4">
        <f>_xlfn.XLOOKUP(E6,Roles[ASSSIGNED ROLE],Roles[Points],"")</f>
        <v>15.014492753623188</v>
      </c>
      <c r="H6" s="4">
        <f>_xlfn.XLOOKUP(G6,Roles[ASSSIGNED ROLE],Roles[Points],"")</f>
        <v>0</v>
      </c>
      <c r="J6" s="4">
        <f>_xlfn.XLOOKUP(I6,Roles[ASSSIGNED ROLE],Roles[Points],"")</f>
        <v>0</v>
      </c>
      <c r="L6" s="4">
        <f>_xlfn.XLOOKUP(K6,Roles[ASSSIGNED ROLE],Roles[Points],"")</f>
        <v>0</v>
      </c>
      <c r="N6" s="4">
        <f>_xlfn.XLOOKUP(M6,Roles[ASSSIGNED ROLE],Roles[Points],"")</f>
        <v>0</v>
      </c>
      <c r="P6" s="4">
        <f>_xlfn.XLOOKUP(O6,Roles[ASSSIGNED ROLE],Roles[Points],"")</f>
        <v>0</v>
      </c>
    </row>
    <row r="7" spans="1:16" x14ac:dyDescent="0.25">
      <c r="A7" s="52" t="str">
        <v>Dummy, 05, 00000005</v>
      </c>
      <c r="B7" s="4">
        <f>_xlfn.XLOOKUP(A7,'Source Information - Staff'!C:C,'Source Information - Staff'!F:F,"")</f>
        <v>1</v>
      </c>
      <c r="C7" s="115">
        <f t="shared" si="0"/>
        <v>10</v>
      </c>
      <c r="D7" s="14">
        <f t="shared" si="1"/>
        <v>0</v>
      </c>
      <c r="E7" s="109"/>
      <c r="F7" s="4">
        <f>_xlfn.XLOOKUP(E7,Roles[ASSSIGNED ROLE],Roles[Points],"")</f>
        <v>0</v>
      </c>
      <c r="H7" s="4">
        <f>_xlfn.XLOOKUP(G7,Roles[ASSSIGNED ROLE],Roles[Points],"")</f>
        <v>0</v>
      </c>
      <c r="J7" s="4">
        <f>_xlfn.XLOOKUP(I7,Roles[ASSSIGNED ROLE],Roles[Points],"")</f>
        <v>0</v>
      </c>
      <c r="L7" s="4">
        <f>_xlfn.XLOOKUP(K7,Roles[ASSSIGNED ROLE],Roles[Points],"")</f>
        <v>0</v>
      </c>
      <c r="N7" s="4">
        <f>_xlfn.XLOOKUP(M7,Roles[ASSSIGNED ROLE],Roles[Points],"")</f>
        <v>0</v>
      </c>
      <c r="P7" s="4">
        <f>_xlfn.XLOOKUP(O7,Roles[ASSSIGNED ROLE],Roles[Points],"")</f>
        <v>0</v>
      </c>
    </row>
    <row r="8" spans="1:16" ht="12.75" customHeight="1" x14ac:dyDescent="0.25">
      <c r="A8" s="52" t="str">
        <v>Dummy, 06, 00000006</v>
      </c>
      <c r="B8" s="4">
        <f>_xlfn.XLOOKUP(A8,'Source Information - Staff'!C:C,'Source Information - Staff'!F:F,"")</f>
        <v>1</v>
      </c>
      <c r="C8" s="115">
        <f t="shared" si="0"/>
        <v>10</v>
      </c>
      <c r="D8" s="14">
        <f t="shared" si="1"/>
        <v>0</v>
      </c>
      <c r="E8" s="109"/>
      <c r="F8" s="4">
        <f>_xlfn.XLOOKUP(E8,Roles[ASSSIGNED ROLE],Roles[Points],"")</f>
        <v>0</v>
      </c>
      <c r="H8" s="4">
        <f>_xlfn.XLOOKUP(G8,Roles[ASSSIGNED ROLE],Roles[Points],"")</f>
        <v>0</v>
      </c>
      <c r="J8" s="4">
        <f>_xlfn.XLOOKUP(I8,Roles[ASSSIGNED ROLE],Roles[Points],"")</f>
        <v>0</v>
      </c>
      <c r="L8" s="4">
        <f>_xlfn.XLOOKUP(K8,Roles[ASSSIGNED ROLE],Roles[Points],"")</f>
        <v>0</v>
      </c>
      <c r="N8" s="4">
        <f>_xlfn.XLOOKUP(M8,Roles[ASSSIGNED ROLE],Roles[Points],"")</f>
        <v>0</v>
      </c>
      <c r="P8" s="4">
        <f>_xlfn.XLOOKUP(O8,Roles[ASSSIGNED ROLE],Roles[Points],"")</f>
        <v>0</v>
      </c>
    </row>
    <row r="9" spans="1:16" x14ac:dyDescent="0.25">
      <c r="A9" s="52" t="str">
        <v>Dummy, 07, 00000007</v>
      </c>
      <c r="B9" s="4">
        <f>_xlfn.XLOOKUP(A9,'Source Information - Staff'!C:C,'Source Information - Staff'!F:F,"")</f>
        <v>1</v>
      </c>
      <c r="C9" s="115">
        <f t="shared" si="0"/>
        <v>10</v>
      </c>
      <c r="D9" s="14">
        <f t="shared" si="1"/>
        <v>0</v>
      </c>
      <c r="E9" s="109"/>
      <c r="F9" s="4">
        <f>_xlfn.XLOOKUP(E9,Roles[ASSSIGNED ROLE],Roles[Points],"")</f>
        <v>0</v>
      </c>
      <c r="H9" s="4">
        <f>_xlfn.XLOOKUP(G9,Roles[ASSSIGNED ROLE],Roles[Points],"")</f>
        <v>0</v>
      </c>
      <c r="J9" s="4">
        <f>_xlfn.XLOOKUP(I9,Roles[ASSSIGNED ROLE],Roles[Points],"")</f>
        <v>0</v>
      </c>
      <c r="L9" s="4">
        <f>_xlfn.XLOOKUP(K9,Roles[ASSSIGNED ROLE],Roles[Points],"")</f>
        <v>0</v>
      </c>
      <c r="N9" s="4">
        <f>_xlfn.XLOOKUP(M9,Roles[ASSSIGNED ROLE],Roles[Points],"")</f>
        <v>0</v>
      </c>
      <c r="P9" s="4">
        <f>_xlfn.XLOOKUP(O9,Roles[ASSSIGNED ROLE],Roles[Points],"")</f>
        <v>0</v>
      </c>
    </row>
    <row r="10" spans="1:16" x14ac:dyDescent="0.25">
      <c r="A10" s="52" t="str">
        <v>Dummy, 08, 00000008</v>
      </c>
      <c r="B10" s="4">
        <f>_xlfn.XLOOKUP(A10,'Source Information - Staff'!C:C,'Source Information - Staff'!F:F,"")</f>
        <v>1</v>
      </c>
      <c r="C10" s="115">
        <f t="shared" si="0"/>
        <v>10</v>
      </c>
      <c r="D10" s="14">
        <f t="shared" si="1"/>
        <v>0</v>
      </c>
      <c r="E10" s="109"/>
      <c r="F10" s="4">
        <f>_xlfn.XLOOKUP(E10,Roles[ASSSIGNED ROLE],Roles[Points],"")</f>
        <v>0</v>
      </c>
      <c r="H10" s="4">
        <f>_xlfn.XLOOKUP(G10,Roles[ASSSIGNED ROLE],Roles[Points],"")</f>
        <v>0</v>
      </c>
      <c r="J10" s="4">
        <f>_xlfn.XLOOKUP(I10,Roles[ASSSIGNED ROLE],Roles[Points],"")</f>
        <v>0</v>
      </c>
      <c r="L10" s="4">
        <f>_xlfn.XLOOKUP(K10,Roles[ASSSIGNED ROLE],Roles[Points],"")</f>
        <v>0</v>
      </c>
      <c r="N10" s="4">
        <f>_xlfn.XLOOKUP(M10,Roles[ASSSIGNED ROLE],Roles[Points],"")</f>
        <v>0</v>
      </c>
      <c r="P10" s="4">
        <f>_xlfn.XLOOKUP(O10,Roles[ASSSIGNED ROLE],Roles[Points],"")</f>
        <v>0</v>
      </c>
    </row>
    <row r="11" spans="1:16" x14ac:dyDescent="0.25">
      <c r="A11" s="52" t="str">
        <v>Dummy, 09, 00000009</v>
      </c>
      <c r="B11" s="4">
        <f>_xlfn.XLOOKUP(A11,'Source Information - Staff'!C:C,'Source Information - Staff'!F:F,"")</f>
        <v>1</v>
      </c>
      <c r="C11" s="115">
        <f t="shared" si="0"/>
        <v>10</v>
      </c>
      <c r="D11" s="14">
        <f t="shared" si="1"/>
        <v>59.072463768115938</v>
      </c>
      <c r="E11" s="109" t="s">
        <v>250</v>
      </c>
      <c r="F11" s="4">
        <f>_xlfn.XLOOKUP(E11,Roles[ASSSIGNED ROLE],Roles[Points],"")</f>
        <v>40</v>
      </c>
      <c r="G11" s="105" t="s">
        <v>242</v>
      </c>
      <c r="H11" s="4">
        <f>_xlfn.XLOOKUP(G11,Roles[ASSSIGNED ROLE],Roles[Points],"")</f>
        <v>4.0579710144927539</v>
      </c>
      <c r="I11" s="105" t="s">
        <v>243</v>
      </c>
      <c r="J11" s="4">
        <f>_xlfn.XLOOKUP(I11,Roles[ASSSIGNED ROLE],Roles[Points],"")</f>
        <v>15.014492753623188</v>
      </c>
      <c r="L11" s="4">
        <f>_xlfn.XLOOKUP(K11,Roles[ASSSIGNED ROLE],Roles[Points],"")</f>
        <v>0</v>
      </c>
      <c r="N11" s="4">
        <f>_xlfn.XLOOKUP(M11,Roles[ASSSIGNED ROLE],Roles[Points],"")</f>
        <v>0</v>
      </c>
      <c r="P11" s="4">
        <f>_xlfn.XLOOKUP(O11,Roles[ASSSIGNED ROLE],Roles[Points],"")</f>
        <v>0</v>
      </c>
    </row>
    <row r="12" spans="1:16" x14ac:dyDescent="0.25">
      <c r="A12" s="52" t="str">
        <v>Dummy, 10, 00000010</v>
      </c>
      <c r="B12" s="4">
        <f>_xlfn.XLOOKUP(A12,'Source Information - Staff'!C:C,'Source Information - Staff'!F:F,"")</f>
        <v>1</v>
      </c>
      <c r="C12" s="115">
        <f t="shared" si="0"/>
        <v>10</v>
      </c>
      <c r="D12" s="14">
        <f t="shared" si="1"/>
        <v>0</v>
      </c>
      <c r="E12" s="109"/>
      <c r="F12" s="4">
        <f>_xlfn.XLOOKUP(E12,Roles[ASSSIGNED ROLE],Roles[Points],"")</f>
        <v>0</v>
      </c>
      <c r="H12" s="4">
        <f>_xlfn.XLOOKUP(G12,Roles[ASSSIGNED ROLE],Roles[Points],"")</f>
        <v>0</v>
      </c>
      <c r="J12" s="4">
        <f>_xlfn.XLOOKUP(I12,Roles[ASSSIGNED ROLE],Roles[Points],"")</f>
        <v>0</v>
      </c>
      <c r="L12" s="4">
        <f>_xlfn.XLOOKUP(K12,Roles[ASSSIGNED ROLE],Roles[Points],"")</f>
        <v>0</v>
      </c>
      <c r="N12" s="4">
        <f>_xlfn.XLOOKUP(M12,Roles[ASSSIGNED ROLE],Roles[Points],"")</f>
        <v>0</v>
      </c>
      <c r="P12" s="4">
        <f>_xlfn.XLOOKUP(O12,Roles[ASSSIGNED ROLE],Roles[Points],"")</f>
        <v>0</v>
      </c>
    </row>
    <row r="13" spans="1:16" x14ac:dyDescent="0.25">
      <c r="A13" s="52" t="str">
        <v>Dummy, 11, 00000011</v>
      </c>
      <c r="B13" s="4">
        <f>_xlfn.XLOOKUP(A13,'Source Information - Staff'!C:C,'Source Information - Staff'!F:F,"")</f>
        <v>1</v>
      </c>
      <c r="C13" s="115">
        <f>IFERROR((B13*10),"")</f>
        <v>10</v>
      </c>
      <c r="D13" s="14">
        <f t="shared" si="1"/>
        <v>8.1159420289855078</v>
      </c>
      <c r="E13" s="109" t="s">
        <v>253</v>
      </c>
      <c r="F13" s="4">
        <f>_xlfn.XLOOKUP(E13,Roles[ASSSIGNED ROLE],Roles[Points],"")</f>
        <v>8.1159420289855078</v>
      </c>
      <c r="H13" s="4">
        <f>_xlfn.XLOOKUP(G13,Roles[ASSSIGNED ROLE],Roles[Points],"")</f>
        <v>0</v>
      </c>
      <c r="J13" s="4">
        <f>_xlfn.XLOOKUP(I13,Roles[ASSSIGNED ROLE],Roles[Points],"")</f>
        <v>0</v>
      </c>
      <c r="L13" s="4">
        <f>_xlfn.XLOOKUP(K13,Roles[ASSSIGNED ROLE],Roles[Points],"")</f>
        <v>0</v>
      </c>
      <c r="N13" s="4">
        <f>_xlfn.XLOOKUP(M13,Roles[ASSSIGNED ROLE],Roles[Points],"")</f>
        <v>0</v>
      </c>
      <c r="P13" s="4">
        <f>_xlfn.XLOOKUP(O13,Roles[ASSSIGNED ROLE],Roles[Points],"")</f>
        <v>0</v>
      </c>
    </row>
    <row r="14" spans="1:16" x14ac:dyDescent="0.25">
      <c r="A14" s="52" t="str">
        <v>Dummy, 12, 00000012</v>
      </c>
      <c r="B14" s="4">
        <f>_xlfn.XLOOKUP(A14,'Source Information - Staff'!C:C,'Source Information - Staff'!F:F,"")</f>
        <v>1</v>
      </c>
      <c r="C14" s="115">
        <f t="shared" si="0"/>
        <v>10</v>
      </c>
      <c r="D14" s="14">
        <f t="shared" si="1"/>
        <v>10.028985507246377</v>
      </c>
      <c r="E14" s="109" t="s">
        <v>257</v>
      </c>
      <c r="F14" s="4">
        <f>_xlfn.XLOOKUP(E14,Roles[ASSSIGNED ROLE],Roles[Points],"")</f>
        <v>10.028985507246377</v>
      </c>
      <c r="H14" s="4">
        <f>_xlfn.XLOOKUP(G14,Roles[ASSSIGNED ROLE],Roles[Points],"")</f>
        <v>0</v>
      </c>
      <c r="J14" s="4">
        <f>_xlfn.XLOOKUP(I14,Roles[ASSSIGNED ROLE],Roles[Points],"")</f>
        <v>0</v>
      </c>
      <c r="L14" s="4">
        <f>_xlfn.XLOOKUP(K14,Roles[ASSSIGNED ROLE],Roles[Points],"")</f>
        <v>0</v>
      </c>
      <c r="N14" s="4">
        <f>_xlfn.XLOOKUP(M14,Roles[ASSSIGNED ROLE],Roles[Points],"")</f>
        <v>0</v>
      </c>
      <c r="P14" s="4">
        <f>_xlfn.XLOOKUP(O14,Roles[ASSSIGNED ROLE],Roles[Points],"")</f>
        <v>0</v>
      </c>
    </row>
    <row r="15" spans="1:16" x14ac:dyDescent="0.25">
      <c r="A15" s="52" t="str">
        <v>Dummy, 13, 00000013</v>
      </c>
      <c r="B15" s="4">
        <f>_xlfn.XLOOKUP(A15,'Source Information - Staff'!C:C,'Source Information - Staff'!F:F,"")</f>
        <v>1</v>
      </c>
      <c r="C15" s="115">
        <f t="shared" si="0"/>
        <v>10</v>
      </c>
      <c r="D15" s="14">
        <f t="shared" si="1"/>
        <v>6.666666666666667</v>
      </c>
      <c r="E15" s="109" t="s">
        <v>260</v>
      </c>
      <c r="F15" s="4">
        <f>_xlfn.XLOOKUP(E15,Roles[ASSSIGNED ROLE],Roles[Points],"")</f>
        <v>5</v>
      </c>
      <c r="G15" s="105" t="s">
        <v>247</v>
      </c>
      <c r="H15" s="4">
        <f>_xlfn.XLOOKUP(G15,Roles[ASSSIGNED ROLE],Roles[Points],"")</f>
        <v>1.6666666666666667</v>
      </c>
      <c r="J15" s="4">
        <f>_xlfn.XLOOKUP(I15,Roles[ASSSIGNED ROLE],Roles[Points],"")</f>
        <v>0</v>
      </c>
      <c r="L15" s="4">
        <f>_xlfn.XLOOKUP(K15,Roles[ASSSIGNED ROLE],Roles[Points],"")</f>
        <v>0</v>
      </c>
      <c r="N15" s="4">
        <f>_xlfn.XLOOKUP(M15,Roles[ASSSIGNED ROLE],Roles[Points],"")</f>
        <v>0</v>
      </c>
      <c r="P15" s="4">
        <f>_xlfn.XLOOKUP(O15,Roles[ASSSIGNED ROLE],Roles[Points],"")</f>
        <v>0</v>
      </c>
    </row>
    <row r="16" spans="1:16" x14ac:dyDescent="0.25">
      <c r="A16" s="52" t="str">
        <v>Dummy, 14, 00000014</v>
      </c>
      <c r="B16" s="4">
        <f>_xlfn.XLOOKUP(A16,'Source Information - Staff'!C:C,'Source Information - Staff'!F:F,"")</f>
        <v>1</v>
      </c>
      <c r="C16" s="115">
        <f t="shared" si="0"/>
        <v>10</v>
      </c>
      <c r="D16" s="14">
        <f t="shared" si="1"/>
        <v>0</v>
      </c>
      <c r="E16" s="109"/>
      <c r="F16" s="4">
        <f>_xlfn.XLOOKUP(E16,Roles[ASSSIGNED ROLE],Roles[Points],"")</f>
        <v>0</v>
      </c>
      <c r="H16" s="4">
        <f>_xlfn.XLOOKUP(G16,Roles[ASSSIGNED ROLE],Roles[Points],"")</f>
        <v>0</v>
      </c>
      <c r="J16" s="4">
        <f>_xlfn.XLOOKUP(I16,Roles[ASSSIGNED ROLE],Roles[Points],"")</f>
        <v>0</v>
      </c>
      <c r="L16" s="4">
        <f>_xlfn.XLOOKUP(K16,Roles[ASSSIGNED ROLE],Roles[Points],"")</f>
        <v>0</v>
      </c>
      <c r="N16" s="4">
        <f>_xlfn.XLOOKUP(M16,Roles[ASSSIGNED ROLE],Roles[Points],"")</f>
        <v>0</v>
      </c>
      <c r="P16" s="4">
        <f>_xlfn.XLOOKUP(O16,Roles[ASSSIGNED ROLE],Roles[Points],"")</f>
        <v>0</v>
      </c>
    </row>
    <row r="17" spans="1:16" x14ac:dyDescent="0.25">
      <c r="A17" s="52" t="str">
        <v>Dummy, 15, 00000015</v>
      </c>
      <c r="B17" s="4">
        <f>_xlfn.XLOOKUP(A17,'Source Information - Staff'!C:C,'Source Information - Staff'!F:F,"")</f>
        <v>1</v>
      </c>
      <c r="C17" s="115">
        <f t="shared" si="0"/>
        <v>10</v>
      </c>
      <c r="D17" s="14">
        <f t="shared" si="1"/>
        <v>0</v>
      </c>
      <c r="E17" s="109"/>
      <c r="F17" s="4">
        <f>_xlfn.XLOOKUP(E17,Roles[ASSSIGNED ROLE],Roles[Points],"")</f>
        <v>0</v>
      </c>
      <c r="H17" s="4">
        <f>_xlfn.XLOOKUP(G17,Roles[ASSSIGNED ROLE],Roles[Points],"")</f>
        <v>0</v>
      </c>
      <c r="J17" s="4">
        <f>_xlfn.XLOOKUP(I17,Roles[ASSSIGNED ROLE],Roles[Points],"")</f>
        <v>0</v>
      </c>
      <c r="L17" s="4">
        <f>_xlfn.XLOOKUP(K17,Roles[ASSSIGNED ROLE],Roles[Points],"")</f>
        <v>0</v>
      </c>
      <c r="N17" s="4">
        <f>_xlfn.XLOOKUP(M17,Roles[ASSSIGNED ROLE],Roles[Points],"")</f>
        <v>0</v>
      </c>
      <c r="P17" s="4">
        <f>_xlfn.XLOOKUP(O17,Roles[ASSSIGNED ROLE],Roles[Points],"")</f>
        <v>0</v>
      </c>
    </row>
    <row r="18" spans="1:16" x14ac:dyDescent="0.25">
      <c r="A18" s="52" t="str">
        <v>Dummy, 16, 00000016</v>
      </c>
      <c r="B18" s="4">
        <f>_xlfn.XLOOKUP(A18,'Source Information - Staff'!C:C,'Source Information - Staff'!F:F,"")</f>
        <v>0.96</v>
      </c>
      <c r="C18" s="115">
        <f t="shared" si="0"/>
        <v>9.6</v>
      </c>
      <c r="D18" s="14">
        <f t="shared" si="1"/>
        <v>12.173913043478262</v>
      </c>
      <c r="E18" s="109" t="s">
        <v>263</v>
      </c>
      <c r="F18" s="4">
        <f>_xlfn.XLOOKUP(E18,Roles[ASSSIGNED ROLE],Roles[Points],"")</f>
        <v>4.0579710144927539</v>
      </c>
      <c r="G18" s="105" t="s">
        <v>251</v>
      </c>
      <c r="H18" s="4">
        <f>_xlfn.XLOOKUP(G18,Roles[ASSSIGNED ROLE],Roles[Points],"")</f>
        <v>8.1159420289855078</v>
      </c>
      <c r="J18" s="4">
        <f>_xlfn.XLOOKUP(I18,Roles[ASSSIGNED ROLE],Roles[Points],"")</f>
        <v>0</v>
      </c>
      <c r="L18" s="4">
        <f>_xlfn.XLOOKUP(K18,Roles[ASSSIGNED ROLE],Roles[Points],"")</f>
        <v>0</v>
      </c>
      <c r="N18" s="4">
        <f>_xlfn.XLOOKUP(M18,Roles[ASSSIGNED ROLE],Roles[Points],"")</f>
        <v>0</v>
      </c>
      <c r="P18" s="4">
        <f>_xlfn.XLOOKUP(O18,Roles[ASSSIGNED ROLE],Roles[Points],"")</f>
        <v>0</v>
      </c>
    </row>
    <row r="19" spans="1:16" x14ac:dyDescent="0.25">
      <c r="A19" s="52" t="str">
        <v>Dummy, 17, 00000017</v>
      </c>
      <c r="B19" s="4">
        <f>_xlfn.XLOOKUP(A19,'Source Information - Staff'!C:C,'Source Information - Staff'!F:F,"")</f>
        <v>0.8</v>
      </c>
      <c r="C19" s="115">
        <f t="shared" si="0"/>
        <v>8</v>
      </c>
      <c r="D19" s="14">
        <f t="shared" si="1"/>
        <v>10.028985507246377</v>
      </c>
      <c r="E19" s="109" t="s">
        <v>266</v>
      </c>
      <c r="F19" s="4">
        <f>_xlfn.XLOOKUP(E19,Roles[ASSSIGNED ROLE],Roles[Points],"")</f>
        <v>10.028985507246377</v>
      </c>
      <c r="H19" s="4">
        <f>_xlfn.XLOOKUP(G19,Roles[ASSSIGNED ROLE],Roles[Points],"")</f>
        <v>0</v>
      </c>
      <c r="J19" s="4">
        <f>_xlfn.XLOOKUP(I19,Roles[ASSSIGNED ROLE],Roles[Points],"")</f>
        <v>0</v>
      </c>
      <c r="L19" s="4">
        <f>_xlfn.XLOOKUP(K19,Roles[ASSSIGNED ROLE],Roles[Points],"")</f>
        <v>0</v>
      </c>
      <c r="N19" s="4">
        <f>_xlfn.XLOOKUP(M19,Roles[ASSSIGNED ROLE],Roles[Points],"")</f>
        <v>0</v>
      </c>
      <c r="P19" s="4">
        <f>_xlfn.XLOOKUP(O19,Roles[ASSSIGNED ROLE],Roles[Points],"")</f>
        <v>0</v>
      </c>
    </row>
    <row r="20" spans="1:16" x14ac:dyDescent="0.25">
      <c r="A20" s="52" t="str">
        <v>Dummy, 18, 00000018</v>
      </c>
      <c r="B20" s="4">
        <f>_xlfn.XLOOKUP(A20,'Source Information - Staff'!C:C,'Source Information - Staff'!F:F,"")</f>
        <v>1</v>
      </c>
      <c r="C20" s="115">
        <f t="shared" si="0"/>
        <v>10</v>
      </c>
      <c r="D20" s="14">
        <f t="shared" si="1"/>
        <v>0</v>
      </c>
      <c r="E20" s="109"/>
      <c r="F20" s="4">
        <f>_xlfn.XLOOKUP(E20,Roles[ASSSIGNED ROLE],Roles[Points],"")</f>
        <v>0</v>
      </c>
      <c r="H20" s="4">
        <f>_xlfn.XLOOKUP(G20,Roles[ASSSIGNED ROLE],Roles[Points],"")</f>
        <v>0</v>
      </c>
      <c r="J20" s="4">
        <f>_xlfn.XLOOKUP(I20,Roles[ASSSIGNED ROLE],Roles[Points],"")</f>
        <v>0</v>
      </c>
      <c r="L20" s="4">
        <f>_xlfn.XLOOKUP(K20,Roles[ASSSIGNED ROLE],Roles[Points],"")</f>
        <v>0</v>
      </c>
      <c r="N20" s="4">
        <f>_xlfn.XLOOKUP(M20,Roles[ASSSIGNED ROLE],Roles[Points],"")</f>
        <v>0</v>
      </c>
      <c r="P20" s="4">
        <f>_xlfn.XLOOKUP(O20,Roles[ASSSIGNED ROLE],Roles[Points],"")</f>
        <v>0</v>
      </c>
    </row>
    <row r="21" spans="1:16" x14ac:dyDescent="0.25">
      <c r="A21" s="52" t="str">
        <v xml:space="preserve">, </v>
      </c>
      <c r="B21" s="4">
        <f>_xlfn.XLOOKUP(A21,'Source Information - Staff'!C:C,'Source Information - Staff'!F:F,"")</f>
        <v>0</v>
      </c>
      <c r="C21" s="115">
        <f t="shared" si="0"/>
        <v>0</v>
      </c>
      <c r="D21" s="14">
        <f t="shared" si="1"/>
        <v>1.6666666666666667</v>
      </c>
      <c r="E21" s="109" t="s">
        <v>247</v>
      </c>
      <c r="F21" s="4">
        <f>_xlfn.XLOOKUP(E21,Roles[ASSSIGNED ROLE],Roles[Points],"")</f>
        <v>1.6666666666666667</v>
      </c>
      <c r="H21" s="4">
        <f>_xlfn.XLOOKUP(G21,Roles[ASSSIGNED ROLE],Roles[Points],"")</f>
        <v>0</v>
      </c>
      <c r="J21" s="4">
        <f>_xlfn.XLOOKUP(I21,Roles[ASSSIGNED ROLE],Roles[Points],"")</f>
        <v>0</v>
      </c>
      <c r="L21" s="4">
        <f>_xlfn.XLOOKUP(K21,Roles[ASSSIGNED ROLE],Roles[Points],"")</f>
        <v>0</v>
      </c>
      <c r="N21" s="4">
        <f>_xlfn.XLOOKUP(M21,Roles[ASSSIGNED ROLE],Roles[Points],"")</f>
        <v>0</v>
      </c>
      <c r="P21" s="4">
        <f>_xlfn.XLOOKUP(O21,Roles[ASSSIGNED ROLE],Roles[Points],"")</f>
        <v>0</v>
      </c>
    </row>
    <row r="22" spans="1:16" x14ac:dyDescent="0.25">
      <c r="A22" s="52">
        <v>0</v>
      </c>
      <c r="B22" s="4" t="str">
        <f>_xlfn.XLOOKUP(A22,'Source Information - Staff'!C:C,'Source Information - Staff'!F:F,"")</f>
        <v/>
      </c>
      <c r="C22" s="115" t="str">
        <f t="shared" si="0"/>
        <v/>
      </c>
      <c r="D22" s="14">
        <f t="shared" si="1"/>
        <v>0</v>
      </c>
      <c r="E22" s="109"/>
      <c r="F22" s="4">
        <f>_xlfn.XLOOKUP(E22,Roles[ASSSIGNED ROLE],Roles[Points],"")</f>
        <v>0</v>
      </c>
      <c r="H22" s="4">
        <f>_xlfn.XLOOKUP(G22,Roles[ASSSIGNED ROLE],Roles[Points],"")</f>
        <v>0</v>
      </c>
      <c r="J22" s="4">
        <f>_xlfn.XLOOKUP(I22,Roles[ASSSIGNED ROLE],Roles[Points],"")</f>
        <v>0</v>
      </c>
      <c r="L22" s="4">
        <f>_xlfn.XLOOKUP(K22,Roles[ASSSIGNED ROLE],Roles[Points],"")</f>
        <v>0</v>
      </c>
      <c r="N22" s="4">
        <f>_xlfn.XLOOKUP(M22,Roles[ASSSIGNED ROLE],Roles[Points],"")</f>
        <v>0</v>
      </c>
      <c r="P22" s="4">
        <f>_xlfn.XLOOKUP(O22,Roles[ASSSIGNED ROLE],Roles[Points],"")</f>
        <v>0</v>
      </c>
    </row>
    <row r="23" spans="1:16" x14ac:dyDescent="0.25">
      <c r="A23" s="52">
        <v>0</v>
      </c>
      <c r="B23" s="4" t="str">
        <f>_xlfn.XLOOKUP(A23,'Source Information - Staff'!C:C,'Source Information - Staff'!F:F,"")</f>
        <v/>
      </c>
      <c r="C23" s="115" t="str">
        <f t="shared" si="0"/>
        <v/>
      </c>
      <c r="D23" s="14">
        <f t="shared" si="1"/>
        <v>10.028985507246377</v>
      </c>
      <c r="E23" s="109" t="s">
        <v>269</v>
      </c>
      <c r="F23" s="4">
        <f>_xlfn.XLOOKUP(E23,Roles[ASSSIGNED ROLE],Roles[Points],"")</f>
        <v>10.028985507246377</v>
      </c>
      <c r="H23" s="4">
        <f>_xlfn.XLOOKUP(G23,Roles[ASSSIGNED ROLE],Roles[Points],"")</f>
        <v>0</v>
      </c>
      <c r="J23" s="4">
        <f>_xlfn.XLOOKUP(I23,Roles[ASSSIGNED ROLE],Roles[Points],"")</f>
        <v>0</v>
      </c>
      <c r="L23" s="4">
        <f>_xlfn.XLOOKUP(K23,Roles[ASSSIGNED ROLE],Roles[Points],"")</f>
        <v>0</v>
      </c>
      <c r="N23" s="4">
        <f>_xlfn.XLOOKUP(M23,Roles[ASSSIGNED ROLE],Roles[Points],"")</f>
        <v>0</v>
      </c>
      <c r="P23" s="4">
        <f>_xlfn.XLOOKUP(O23,Roles[ASSSIGNED ROLE],Roles[Points],"")</f>
        <v>0</v>
      </c>
    </row>
    <row r="24" spans="1:16" x14ac:dyDescent="0.25">
      <c r="A24" s="52">
        <v>0</v>
      </c>
      <c r="B24" s="4" t="str">
        <f>_xlfn.XLOOKUP(A24,'Source Information - Staff'!C:C,'Source Information - Staff'!F:F,"")</f>
        <v/>
      </c>
      <c r="C24" s="115" t="str">
        <f t="shared" si="0"/>
        <v/>
      </c>
      <c r="D24" s="14">
        <f t="shared" si="1"/>
        <v>0</v>
      </c>
      <c r="E24" s="109"/>
      <c r="F24" s="4">
        <f>_xlfn.XLOOKUP(E24,Roles[ASSSIGNED ROLE],Roles[Points],"")</f>
        <v>0</v>
      </c>
      <c r="H24" s="4">
        <f>_xlfn.XLOOKUP(G24,Roles[ASSSIGNED ROLE],Roles[Points],"")</f>
        <v>0</v>
      </c>
      <c r="J24" s="4">
        <f>_xlfn.XLOOKUP(I24,Roles[ASSSIGNED ROLE],Roles[Points],"")</f>
        <v>0</v>
      </c>
      <c r="L24" s="4">
        <f>_xlfn.XLOOKUP(K24,Roles[ASSSIGNED ROLE],Roles[Points],"")</f>
        <v>0</v>
      </c>
      <c r="N24" s="4">
        <f>_xlfn.XLOOKUP(M24,Roles[ASSSIGNED ROLE],Roles[Points],"")</f>
        <v>0</v>
      </c>
      <c r="P24" s="4">
        <f>_xlfn.XLOOKUP(O24,Roles[ASSSIGNED ROLE],Roles[Points],"")</f>
        <v>0</v>
      </c>
    </row>
    <row r="25" spans="1:16" x14ac:dyDescent="0.25">
      <c r="A25" s="52">
        <v>0</v>
      </c>
      <c r="B25" s="4" t="str">
        <f>_xlfn.XLOOKUP(A25,'Source Information - Staff'!C:C,'Source Information - Staff'!F:F,"")</f>
        <v/>
      </c>
      <c r="C25" s="115" t="str">
        <f t="shared" si="0"/>
        <v/>
      </c>
      <c r="D25" s="14">
        <f t="shared" si="1"/>
        <v>0</v>
      </c>
      <c r="E25" s="109"/>
      <c r="F25" s="4">
        <f>_xlfn.XLOOKUP(E25,Roles[ASSSIGNED ROLE],Roles[Points],"")</f>
        <v>0</v>
      </c>
      <c r="H25" s="4">
        <f>_xlfn.XLOOKUP(G25,Roles[ASSSIGNED ROLE],Roles[Points],"")</f>
        <v>0</v>
      </c>
      <c r="J25" s="4">
        <f>_xlfn.XLOOKUP(I25,Roles[ASSSIGNED ROLE],Roles[Points],"")</f>
        <v>0</v>
      </c>
      <c r="L25" s="4">
        <f>_xlfn.XLOOKUP(K25,Roles[ASSSIGNED ROLE],Roles[Points],"")</f>
        <v>0</v>
      </c>
      <c r="N25" s="4">
        <f>_xlfn.XLOOKUP(M25,Roles[ASSSIGNED ROLE],Roles[Points],"")</f>
        <v>0</v>
      </c>
      <c r="P25" s="4">
        <f>_xlfn.XLOOKUP(O25,Roles[ASSSIGNED ROLE],Roles[Points],"")</f>
        <v>0</v>
      </c>
    </row>
    <row r="26" spans="1:16" x14ac:dyDescent="0.25">
      <c r="A26" s="52">
        <v>0</v>
      </c>
      <c r="B26" s="4" t="str">
        <f>_xlfn.XLOOKUP(A26,'Source Information - Staff'!C:C,'Source Information - Staff'!F:F,"")</f>
        <v/>
      </c>
      <c r="C26" s="115" t="str">
        <f t="shared" si="0"/>
        <v/>
      </c>
      <c r="D26" s="14">
        <f t="shared" si="1"/>
        <v>40</v>
      </c>
      <c r="E26" s="109" t="s">
        <v>271</v>
      </c>
      <c r="F26" s="4">
        <f>_xlfn.XLOOKUP(E26,Roles[ASSSIGNED ROLE],Roles[Points],"")</f>
        <v>40</v>
      </c>
      <c r="H26" s="4">
        <f>_xlfn.XLOOKUP(G26,Roles[ASSSIGNED ROLE],Roles[Points],"")</f>
        <v>0</v>
      </c>
      <c r="J26" s="4">
        <f>_xlfn.XLOOKUP(I26,Roles[ASSSIGNED ROLE],Roles[Points],"")</f>
        <v>0</v>
      </c>
      <c r="L26" s="4">
        <f>_xlfn.XLOOKUP(K26,Roles[ASSSIGNED ROLE],Roles[Points],"")</f>
        <v>0</v>
      </c>
      <c r="N26" s="4">
        <f>_xlfn.XLOOKUP(M26,Roles[ASSSIGNED ROLE],Roles[Points],"")</f>
        <v>0</v>
      </c>
      <c r="P26" s="4">
        <f>_xlfn.XLOOKUP(O26,Roles[ASSSIGNED ROLE],Roles[Points],"")</f>
        <v>0</v>
      </c>
    </row>
    <row r="27" spans="1:16" x14ac:dyDescent="0.25">
      <c r="A27" s="52">
        <v>0</v>
      </c>
      <c r="B27" s="4" t="str">
        <f>_xlfn.XLOOKUP(A27,'Source Information - Staff'!C:C,'Source Information - Staff'!F:F,"")</f>
        <v/>
      </c>
      <c r="C27" s="115" t="str">
        <f t="shared" si="0"/>
        <v/>
      </c>
      <c r="D27" s="14">
        <f t="shared" si="1"/>
        <v>10.028985507246377</v>
      </c>
      <c r="E27" s="109" t="s">
        <v>245</v>
      </c>
      <c r="F27" s="4">
        <f>_xlfn.XLOOKUP(E27,Roles[ASSSIGNED ROLE],Roles[Points],"")</f>
        <v>10.028985507246377</v>
      </c>
      <c r="H27" s="4">
        <f>_xlfn.XLOOKUP(G27,Roles[ASSSIGNED ROLE],Roles[Points],"")</f>
        <v>0</v>
      </c>
      <c r="J27" s="4">
        <f>_xlfn.XLOOKUP(I27,Roles[ASSSIGNED ROLE],Roles[Points],"")</f>
        <v>0</v>
      </c>
      <c r="L27" s="4">
        <f>_xlfn.XLOOKUP(K27,Roles[ASSSIGNED ROLE],Roles[Points],"")</f>
        <v>0</v>
      </c>
      <c r="N27" s="4">
        <f>_xlfn.XLOOKUP(M27,Roles[ASSSIGNED ROLE],Roles[Points],"")</f>
        <v>0</v>
      </c>
      <c r="P27" s="4">
        <f>_xlfn.XLOOKUP(O27,Roles[ASSSIGNED ROLE],Roles[Points],"")</f>
        <v>0</v>
      </c>
    </row>
    <row r="28" spans="1:16" x14ac:dyDescent="0.25">
      <c r="A28" s="52">
        <v>0</v>
      </c>
      <c r="B28" s="4" t="str">
        <f>_xlfn.XLOOKUP(A28,'Source Information - Staff'!C:C,'Source Information - Staff'!F:F,"")</f>
        <v/>
      </c>
      <c r="C28" s="115" t="str">
        <f t="shared" si="0"/>
        <v/>
      </c>
      <c r="D28" s="14">
        <f t="shared" si="1"/>
        <v>0</v>
      </c>
      <c r="E28" s="109"/>
      <c r="F28" s="4">
        <f>_xlfn.XLOOKUP(E28,Roles[ASSSIGNED ROLE],Roles[Points],"")</f>
        <v>0</v>
      </c>
      <c r="H28" s="4">
        <f>_xlfn.XLOOKUP(G28,Roles[ASSSIGNED ROLE],Roles[Points],"")</f>
        <v>0</v>
      </c>
      <c r="J28" s="4">
        <f>_xlfn.XLOOKUP(I28,Roles[ASSSIGNED ROLE],Roles[Points],"")</f>
        <v>0</v>
      </c>
      <c r="L28" s="4">
        <f>_xlfn.XLOOKUP(K28,Roles[ASSSIGNED ROLE],Roles[Points],"")</f>
        <v>0</v>
      </c>
      <c r="N28" s="4">
        <f>_xlfn.XLOOKUP(M28,Roles[ASSSIGNED ROLE],Roles[Points],"")</f>
        <v>0</v>
      </c>
      <c r="P28" s="4">
        <f>_xlfn.XLOOKUP(O28,Roles[ASSSIGNED ROLE],Roles[Points],"")</f>
        <v>0</v>
      </c>
    </row>
    <row r="29" spans="1:16" x14ac:dyDescent="0.25">
      <c r="A29" s="52">
        <v>0</v>
      </c>
      <c r="B29" s="4" t="str">
        <f>_xlfn.XLOOKUP(A29,'Source Information - Staff'!C:C,'Source Information - Staff'!F:F,"")</f>
        <v/>
      </c>
      <c r="C29" s="115" t="str">
        <f t="shared" si="0"/>
        <v/>
      </c>
      <c r="D29" s="14">
        <f t="shared" si="1"/>
        <v>24.405797101449277</v>
      </c>
      <c r="E29" s="109" t="s">
        <v>273</v>
      </c>
      <c r="F29" s="4">
        <f>_xlfn.XLOOKUP(E29,Roles[ASSSIGNED ROLE],Roles[Points],"")</f>
        <v>5.2173913043478262</v>
      </c>
      <c r="G29" s="105" t="s">
        <v>254</v>
      </c>
      <c r="H29" s="4">
        <f>_xlfn.XLOOKUP(G29,Roles[ASSSIGNED ROLE],Roles[Points],"")</f>
        <v>15.014492753623188</v>
      </c>
      <c r="I29" s="105" t="s">
        <v>248</v>
      </c>
      <c r="J29" s="4">
        <f>_xlfn.XLOOKUP(I29,Roles[ASSSIGNED ROLE],Roles[Points],"")</f>
        <v>3.0144927536231885</v>
      </c>
      <c r="K29" s="105" t="s">
        <v>244</v>
      </c>
      <c r="L29" s="4">
        <f>_xlfn.XLOOKUP(K29,Roles[ASSSIGNED ROLE],Roles[Points],"")</f>
        <v>1.1594202898550725</v>
      </c>
      <c r="N29" s="4">
        <f>_xlfn.XLOOKUP(M29,Roles[ASSSIGNED ROLE],Roles[Points],"")</f>
        <v>0</v>
      </c>
      <c r="P29" s="4">
        <f>_xlfn.XLOOKUP(O29,Roles[ASSSIGNED ROLE],Roles[Points],"")</f>
        <v>0</v>
      </c>
    </row>
    <row r="30" spans="1:16" x14ac:dyDescent="0.25">
      <c r="A30" s="52">
        <v>0</v>
      </c>
      <c r="B30" s="4" t="str">
        <f>_xlfn.XLOOKUP(A30,'Source Information - Staff'!C:C,'Source Information - Staff'!F:F,"")</f>
        <v/>
      </c>
      <c r="C30" s="115" t="str">
        <f t="shared" si="0"/>
        <v/>
      </c>
      <c r="D30" s="14">
        <f t="shared" si="1"/>
        <v>0</v>
      </c>
      <c r="E30" s="109"/>
      <c r="F30" s="4">
        <f>_xlfn.XLOOKUP(E30,Roles[ASSSIGNED ROLE],Roles[Points],"")</f>
        <v>0</v>
      </c>
      <c r="H30" s="4">
        <f>_xlfn.XLOOKUP(G30,Roles[ASSSIGNED ROLE],Roles[Points],"")</f>
        <v>0</v>
      </c>
      <c r="J30" s="4">
        <f>_xlfn.XLOOKUP(I30,Roles[ASSSIGNED ROLE],Roles[Points],"")</f>
        <v>0</v>
      </c>
      <c r="L30" s="4">
        <f>_xlfn.XLOOKUP(K30,Roles[ASSSIGNED ROLE],Roles[Points],"")</f>
        <v>0</v>
      </c>
      <c r="N30" s="4">
        <f>_xlfn.XLOOKUP(M30,Roles[ASSSIGNED ROLE],Roles[Points],"")</f>
        <v>0</v>
      </c>
      <c r="P30" s="4">
        <f>_xlfn.XLOOKUP(O30,Roles[ASSSIGNED ROLE],Roles[Points],"")</f>
        <v>0</v>
      </c>
    </row>
    <row r="31" spans="1:16" x14ac:dyDescent="0.25">
      <c r="A31" s="52">
        <v>0</v>
      </c>
      <c r="B31" s="4" t="str">
        <f>_xlfn.XLOOKUP(A31,'Source Information - Staff'!C:C,'Source Information - Staff'!F:F,"")</f>
        <v/>
      </c>
      <c r="C31" s="115" t="str">
        <f t="shared" si="0"/>
        <v/>
      </c>
      <c r="D31" s="14">
        <f t="shared" si="1"/>
        <v>0</v>
      </c>
      <c r="E31" s="109"/>
      <c r="F31" s="4">
        <f>_xlfn.XLOOKUP(E31,Roles[ASSSIGNED ROLE],Roles[Points],"")</f>
        <v>0</v>
      </c>
      <c r="H31" s="4">
        <f>_xlfn.XLOOKUP(G31,Roles[ASSSIGNED ROLE],Roles[Points],"")</f>
        <v>0</v>
      </c>
      <c r="J31" s="4">
        <f>_xlfn.XLOOKUP(I31,Roles[ASSSIGNED ROLE],Roles[Points],"")</f>
        <v>0</v>
      </c>
      <c r="L31" s="4">
        <f>_xlfn.XLOOKUP(K31,Roles[ASSSIGNED ROLE],Roles[Points],"")</f>
        <v>0</v>
      </c>
      <c r="N31" s="4">
        <f>_xlfn.XLOOKUP(M31,Roles[ASSSIGNED ROLE],Roles[Points],"")</f>
        <v>0</v>
      </c>
      <c r="P31" s="4">
        <f>_xlfn.XLOOKUP(O31,Roles[ASSSIGNED ROLE],Roles[Points],"")</f>
        <v>0</v>
      </c>
    </row>
    <row r="32" spans="1:16" x14ac:dyDescent="0.25">
      <c r="A32" s="52">
        <v>0</v>
      </c>
      <c r="B32" s="4" t="str">
        <f>_xlfn.XLOOKUP(A32,'Source Information - Staff'!C:C,'Source Information - Staff'!F:F,"")</f>
        <v/>
      </c>
      <c r="C32" s="115" t="str">
        <f t="shared" si="0"/>
        <v/>
      </c>
      <c r="D32" s="14">
        <f t="shared" si="1"/>
        <v>0</v>
      </c>
      <c r="E32" s="109"/>
      <c r="F32" s="4">
        <f>_xlfn.XLOOKUP(E32,Roles[ASSSIGNED ROLE],Roles[Points],"")</f>
        <v>0</v>
      </c>
      <c r="H32" s="4">
        <f>_xlfn.XLOOKUP(G32,Roles[ASSSIGNED ROLE],Roles[Points],"")</f>
        <v>0</v>
      </c>
      <c r="J32" s="4">
        <f>_xlfn.XLOOKUP(I32,Roles[ASSSIGNED ROLE],Roles[Points],"")</f>
        <v>0</v>
      </c>
      <c r="L32" s="4">
        <f>_xlfn.XLOOKUP(K32,Roles[ASSSIGNED ROLE],Roles[Points],"")</f>
        <v>0</v>
      </c>
      <c r="N32" s="4">
        <f>_xlfn.XLOOKUP(M32,Roles[ASSSIGNED ROLE],Roles[Points],"")</f>
        <v>0</v>
      </c>
      <c r="P32" s="4">
        <f>_xlfn.XLOOKUP(O32,Roles[ASSSIGNED ROLE],Roles[Points],"")</f>
        <v>0</v>
      </c>
    </row>
    <row r="33" spans="1:16" x14ac:dyDescent="0.25">
      <c r="A33" s="52">
        <v>0</v>
      </c>
      <c r="B33" s="4" t="str">
        <f>_xlfn.XLOOKUP(A33,'Source Information - Staff'!C:C,'Source Information - Staff'!F:F,"")</f>
        <v/>
      </c>
      <c r="C33" s="115" t="str">
        <f t="shared" si="0"/>
        <v/>
      </c>
      <c r="D33" s="14">
        <f t="shared" si="1"/>
        <v>4.63768115942029</v>
      </c>
      <c r="E33" s="109" t="s">
        <v>275</v>
      </c>
      <c r="F33" s="4">
        <f>_xlfn.XLOOKUP(E33,Roles[ASSSIGNED ROLE],Roles[Points],"")</f>
        <v>4.63768115942029</v>
      </c>
      <c r="H33" s="4">
        <f>_xlfn.XLOOKUP(G33,Roles[ASSSIGNED ROLE],Roles[Points],"")</f>
        <v>0</v>
      </c>
      <c r="J33" s="4">
        <f>_xlfn.XLOOKUP(I33,Roles[ASSSIGNED ROLE],Roles[Points],"")</f>
        <v>0</v>
      </c>
      <c r="L33" s="4">
        <f>_xlfn.XLOOKUP(K33,Roles[ASSSIGNED ROLE],Roles[Points],"")</f>
        <v>0</v>
      </c>
      <c r="N33" s="4">
        <f>_xlfn.XLOOKUP(M33,Roles[ASSSIGNED ROLE],Roles[Points],"")</f>
        <v>0</v>
      </c>
      <c r="P33" s="4">
        <f>_xlfn.XLOOKUP(O33,Roles[ASSSIGNED ROLE],Roles[Points],"")</f>
        <v>0</v>
      </c>
    </row>
    <row r="34" spans="1:16" x14ac:dyDescent="0.25">
      <c r="A34" s="52"/>
      <c r="B34" s="4">
        <f>_xlfn.XLOOKUP(A34,'Source Information - Staff'!C:C,'Source Information - Staff'!F:F,"")</f>
        <v>0</v>
      </c>
      <c r="C34" s="115">
        <f t="shared" si="0"/>
        <v>0</v>
      </c>
      <c r="D34" s="14">
        <f t="shared" si="1"/>
        <v>10.028985507246377</v>
      </c>
      <c r="E34" s="109" t="s">
        <v>276</v>
      </c>
      <c r="F34" s="4">
        <f>_xlfn.XLOOKUP(E34,Roles[ASSSIGNED ROLE],Roles[Points],"")</f>
        <v>10.028985507246377</v>
      </c>
      <c r="H34" s="4">
        <f>_xlfn.XLOOKUP(G34,Roles[ASSSIGNED ROLE],Roles[Points],"")</f>
        <v>0</v>
      </c>
      <c r="J34" s="4">
        <f>_xlfn.XLOOKUP(I34,Roles[ASSSIGNED ROLE],Roles[Points],"")</f>
        <v>0</v>
      </c>
      <c r="L34" s="4">
        <f>_xlfn.XLOOKUP(K34,Roles[ASSSIGNED ROLE],Roles[Points],"")</f>
        <v>0</v>
      </c>
      <c r="N34" s="4">
        <f>_xlfn.XLOOKUP(M34,Roles[ASSSIGNED ROLE],Roles[Points],"")</f>
        <v>0</v>
      </c>
      <c r="P34" s="4">
        <f>_xlfn.XLOOKUP(O34,Roles[ASSSIGNED ROLE],Roles[Points],"")</f>
        <v>0</v>
      </c>
    </row>
    <row r="35" spans="1:16" x14ac:dyDescent="0.25">
      <c r="A35" s="52"/>
      <c r="B35" s="4">
        <f>_xlfn.XLOOKUP(A35,'Source Information - Staff'!C:C,'Source Information - Staff'!F:F,"")</f>
        <v>0</v>
      </c>
      <c r="C35" s="115">
        <f t="shared" si="0"/>
        <v>0</v>
      </c>
      <c r="D35" s="14">
        <f t="shared" si="1"/>
        <v>0</v>
      </c>
      <c r="E35" s="109"/>
      <c r="F35" s="4">
        <f>_xlfn.XLOOKUP(E35,Roles[ASSSIGNED ROLE],Roles[Points],"")</f>
        <v>0</v>
      </c>
      <c r="H35" s="4">
        <f>_xlfn.XLOOKUP(G35,Roles[ASSSIGNED ROLE],Roles[Points],"")</f>
        <v>0</v>
      </c>
      <c r="J35" s="4">
        <f>_xlfn.XLOOKUP(I35,Roles[ASSSIGNED ROLE],Roles[Points],"")</f>
        <v>0</v>
      </c>
      <c r="L35" s="4">
        <f>_xlfn.XLOOKUP(K35,Roles[ASSSIGNED ROLE],Roles[Points],"")</f>
        <v>0</v>
      </c>
      <c r="N35" s="4">
        <f>_xlfn.XLOOKUP(M35,Roles[ASSSIGNED ROLE],Roles[Points],"")</f>
        <v>0</v>
      </c>
      <c r="P35" s="4">
        <f>_xlfn.XLOOKUP(O35,Roles[ASSSIGNED ROLE],Roles[Points],"")</f>
        <v>0</v>
      </c>
    </row>
    <row r="36" spans="1:16" x14ac:dyDescent="0.25">
      <c r="A36" s="52"/>
      <c r="B36" s="4">
        <f>_xlfn.XLOOKUP(A36,'Source Information - Staff'!C:C,'Source Information - Staff'!F:F,"")</f>
        <v>0</v>
      </c>
      <c r="C36" s="115">
        <f t="shared" si="0"/>
        <v>0</v>
      </c>
      <c r="D36" s="14">
        <f t="shared" si="1"/>
        <v>0</v>
      </c>
      <c r="E36" s="109"/>
      <c r="F36" s="4">
        <f>_xlfn.XLOOKUP(E36,Roles[ASSSIGNED ROLE],Roles[Points],"")</f>
        <v>0</v>
      </c>
      <c r="H36" s="4">
        <f>_xlfn.XLOOKUP(G36,Roles[ASSSIGNED ROLE],Roles[Points],"")</f>
        <v>0</v>
      </c>
      <c r="J36" s="4">
        <f>_xlfn.XLOOKUP(I36,Roles[ASSSIGNED ROLE],Roles[Points],"")</f>
        <v>0</v>
      </c>
      <c r="L36" s="4">
        <f>_xlfn.XLOOKUP(K36,Roles[ASSSIGNED ROLE],Roles[Points],"")</f>
        <v>0</v>
      </c>
      <c r="N36" s="4">
        <f>_xlfn.XLOOKUP(M36,Roles[ASSSIGNED ROLE],Roles[Points],"")</f>
        <v>0</v>
      </c>
      <c r="P36" s="4">
        <f>_xlfn.XLOOKUP(O36,Roles[ASSSIGNED ROLE],Roles[Points],"")</f>
        <v>0</v>
      </c>
    </row>
    <row r="37" spans="1:16" x14ac:dyDescent="0.25">
      <c r="A37" s="52"/>
      <c r="B37" s="4">
        <f>_xlfn.XLOOKUP(A37,'Source Information - Staff'!C:C,'Source Information - Staff'!F:F,"")</f>
        <v>0</v>
      </c>
      <c r="C37" s="115">
        <f t="shared" si="0"/>
        <v>0</v>
      </c>
      <c r="D37" s="14">
        <f t="shared" si="1"/>
        <v>0</v>
      </c>
      <c r="E37" s="109"/>
      <c r="F37" s="4">
        <f>_xlfn.XLOOKUP(E37,Roles[ASSSIGNED ROLE],Roles[Points],"")</f>
        <v>0</v>
      </c>
      <c r="H37" s="4">
        <f>_xlfn.XLOOKUP(G37,Roles[ASSSIGNED ROLE],Roles[Points],"")</f>
        <v>0</v>
      </c>
      <c r="J37" s="4">
        <f>_xlfn.XLOOKUP(I37,Roles[ASSSIGNED ROLE],Roles[Points],"")</f>
        <v>0</v>
      </c>
      <c r="L37" s="4">
        <f>_xlfn.XLOOKUP(K37,Roles[ASSSIGNED ROLE],Roles[Points],"")</f>
        <v>0</v>
      </c>
      <c r="N37" s="4">
        <f>_xlfn.XLOOKUP(M37,Roles[ASSSIGNED ROLE],Roles[Points],"")</f>
        <v>0</v>
      </c>
      <c r="P37" s="4">
        <f>_xlfn.XLOOKUP(O37,Roles[ASSSIGNED ROLE],Roles[Points],"")</f>
        <v>0</v>
      </c>
    </row>
    <row r="38" spans="1:16" x14ac:dyDescent="0.25">
      <c r="A38" s="52"/>
      <c r="B38" s="4">
        <f>_xlfn.XLOOKUP(A38,'Source Information - Staff'!C:C,'Source Information - Staff'!F:F,"")</f>
        <v>0</v>
      </c>
      <c r="C38" s="115">
        <f t="shared" si="0"/>
        <v>0</v>
      </c>
      <c r="D38" s="14">
        <f t="shared" si="1"/>
        <v>0</v>
      </c>
      <c r="E38" s="109"/>
      <c r="F38" s="4">
        <f>_xlfn.XLOOKUP(E38,Roles[ASSSIGNED ROLE],Roles[Points],"")</f>
        <v>0</v>
      </c>
      <c r="H38" s="4">
        <f>_xlfn.XLOOKUP(G38,Roles[ASSSIGNED ROLE],Roles[Points],"")</f>
        <v>0</v>
      </c>
      <c r="J38" s="4">
        <f>_xlfn.XLOOKUP(I38,Roles[ASSSIGNED ROLE],Roles[Points],"")</f>
        <v>0</v>
      </c>
      <c r="L38" s="4">
        <f>_xlfn.XLOOKUP(K38,Roles[ASSSIGNED ROLE],Roles[Points],"")</f>
        <v>0</v>
      </c>
      <c r="N38" s="4">
        <f>_xlfn.XLOOKUP(M38,Roles[ASSSIGNED ROLE],Roles[Points],"")</f>
        <v>0</v>
      </c>
      <c r="P38" s="4">
        <f>_xlfn.XLOOKUP(O38,Roles[ASSSIGNED ROLE],Roles[Points],"")</f>
        <v>0</v>
      </c>
    </row>
    <row r="39" spans="1:16" x14ac:dyDescent="0.25">
      <c r="A39" s="52"/>
      <c r="B39" s="4">
        <f>_xlfn.XLOOKUP(A39,'Source Information - Staff'!C:C,'Source Information - Staff'!F:F,"")</f>
        <v>0</v>
      </c>
      <c r="C39" s="115">
        <f t="shared" si="0"/>
        <v>0</v>
      </c>
      <c r="D39" s="14">
        <f t="shared" si="1"/>
        <v>39.246376811594203</v>
      </c>
      <c r="E39" s="109" t="s">
        <v>277</v>
      </c>
      <c r="F39" s="4">
        <f>_xlfn.XLOOKUP(E39,Roles[ASSSIGNED ROLE],Roles[Points],"")</f>
        <v>15.014492753623188</v>
      </c>
      <c r="G39" s="105" t="s">
        <v>258</v>
      </c>
      <c r="H39" s="4">
        <f>_xlfn.XLOOKUP(G39,Roles[ASSSIGNED ROLE],Roles[Points],"")</f>
        <v>10.028985507246377</v>
      </c>
      <c r="I39" s="105" t="s">
        <v>248</v>
      </c>
      <c r="J39" s="4">
        <f>_xlfn.XLOOKUP(I39,Roles[ASSSIGNED ROLE],Roles[Points],"")</f>
        <v>3.0144927536231885</v>
      </c>
      <c r="K39" s="105" t="s">
        <v>249</v>
      </c>
      <c r="L39" s="4">
        <f>_xlfn.XLOOKUP(K39,Roles[ASSSIGNED ROLE],Roles[Points],"")</f>
        <v>1.1594202898550725</v>
      </c>
      <c r="M39" s="105" t="s">
        <v>245</v>
      </c>
      <c r="N39" s="4">
        <f>_xlfn.XLOOKUP(M39,Roles[ASSSIGNED ROLE],Roles[Points],"")</f>
        <v>10.028985507246377</v>
      </c>
      <c r="P39" s="4">
        <f>_xlfn.XLOOKUP(O39,Roles[ASSSIGNED ROLE],Roles[Points],"")</f>
        <v>0</v>
      </c>
    </row>
    <row r="40" spans="1:16" x14ac:dyDescent="0.25">
      <c r="A40" s="52"/>
      <c r="B40" s="4">
        <f>_xlfn.XLOOKUP(A40,'Source Information - Staff'!C:C,'Source Information - Staff'!F:F,"")</f>
        <v>0</v>
      </c>
      <c r="C40" s="115">
        <f t="shared" si="0"/>
        <v>0</v>
      </c>
      <c r="D40" s="14">
        <f t="shared" si="1"/>
        <v>0</v>
      </c>
      <c r="E40" s="109"/>
      <c r="F40" s="4">
        <f>_xlfn.XLOOKUP(E40,Roles[ASSSIGNED ROLE],Roles[Points],"")</f>
        <v>0</v>
      </c>
      <c r="H40" s="4">
        <f>_xlfn.XLOOKUP(G40,Roles[ASSSIGNED ROLE],Roles[Points],"")</f>
        <v>0</v>
      </c>
      <c r="J40" s="4">
        <f>_xlfn.XLOOKUP(I40,Roles[ASSSIGNED ROLE],Roles[Points],"")</f>
        <v>0</v>
      </c>
      <c r="L40" s="4">
        <f>_xlfn.XLOOKUP(K40,Roles[ASSSIGNED ROLE],Roles[Points],"")</f>
        <v>0</v>
      </c>
      <c r="N40" s="4">
        <f>_xlfn.XLOOKUP(M40,Roles[ASSSIGNED ROLE],Roles[Points],"")</f>
        <v>0</v>
      </c>
      <c r="P40" s="4">
        <f>_xlfn.XLOOKUP(O40,Roles[ASSSIGNED ROLE],Roles[Points],"")</f>
        <v>0</v>
      </c>
    </row>
    <row r="41" spans="1:16" x14ac:dyDescent="0.25">
      <c r="A41" s="52"/>
      <c r="B41" s="4">
        <f>_xlfn.XLOOKUP(A41,'Source Information - Staff'!C:C,'Source Information - Staff'!F:F,"")</f>
        <v>0</v>
      </c>
      <c r="C41" s="115">
        <f t="shared" si="0"/>
        <v>0</v>
      </c>
      <c r="D41" s="14">
        <f t="shared" si="1"/>
        <v>0</v>
      </c>
      <c r="E41" s="109"/>
      <c r="F41" s="4">
        <f>_xlfn.XLOOKUP(E41,Roles[ASSSIGNED ROLE],Roles[Points],"")</f>
        <v>0</v>
      </c>
      <c r="H41" s="4">
        <f>_xlfn.XLOOKUP(G41,Roles[ASSSIGNED ROLE],Roles[Points],"")</f>
        <v>0</v>
      </c>
      <c r="J41" s="4">
        <f>_xlfn.XLOOKUP(I41,Roles[ASSSIGNED ROLE],Roles[Points],"")</f>
        <v>0</v>
      </c>
      <c r="L41" s="4">
        <f>_xlfn.XLOOKUP(K41,Roles[ASSSIGNED ROLE],Roles[Points],"")</f>
        <v>0</v>
      </c>
      <c r="N41" s="4">
        <f>_xlfn.XLOOKUP(M41,Roles[ASSSIGNED ROLE],Roles[Points],"")</f>
        <v>0</v>
      </c>
      <c r="P41" s="4">
        <f>_xlfn.XLOOKUP(O41,Roles[ASSSIGNED ROLE],Roles[Points],"")</f>
        <v>0</v>
      </c>
    </row>
    <row r="42" spans="1:16" x14ac:dyDescent="0.25">
      <c r="A42" s="52"/>
      <c r="B42" s="4">
        <f>_xlfn.XLOOKUP(A42,'Source Information - Staff'!C:C,'Source Information - Staff'!F:F,"")</f>
        <v>0</v>
      </c>
      <c r="C42" s="115">
        <f t="shared" si="0"/>
        <v>0</v>
      </c>
      <c r="D42" s="14">
        <f t="shared" si="1"/>
        <v>0</v>
      </c>
      <c r="E42" s="109"/>
      <c r="F42" s="4">
        <f>_xlfn.XLOOKUP(E42,Roles[ASSSIGNED ROLE],Roles[Points],"")</f>
        <v>0</v>
      </c>
      <c r="H42" s="4">
        <f>_xlfn.XLOOKUP(G42,Roles[ASSSIGNED ROLE],Roles[Points],"")</f>
        <v>0</v>
      </c>
      <c r="J42" s="4">
        <f>_xlfn.XLOOKUP(I42,Roles[ASSSIGNED ROLE],Roles[Points],"")</f>
        <v>0</v>
      </c>
      <c r="L42" s="4">
        <f>_xlfn.XLOOKUP(K42,Roles[ASSSIGNED ROLE],Roles[Points],"")</f>
        <v>0</v>
      </c>
      <c r="N42" s="4">
        <f>_xlfn.XLOOKUP(M42,Roles[ASSSIGNED ROLE],Roles[Points],"")</f>
        <v>0</v>
      </c>
      <c r="P42" s="4">
        <f>_xlfn.XLOOKUP(O42,Roles[ASSSIGNED ROLE],Roles[Points],"")</f>
        <v>0</v>
      </c>
    </row>
    <row r="43" spans="1:16" x14ac:dyDescent="0.25">
      <c r="A43" s="52"/>
      <c r="B43" s="4">
        <f>_xlfn.XLOOKUP(A43,'Source Information - Staff'!C:C,'Source Information - Staff'!F:F,"")</f>
        <v>0</v>
      </c>
      <c r="C43" s="115">
        <f t="shared" si="0"/>
        <v>0</v>
      </c>
      <c r="D43" s="14">
        <f t="shared" si="1"/>
        <v>1.6666666666666667</v>
      </c>
      <c r="E43" s="109" t="s">
        <v>247</v>
      </c>
      <c r="F43" s="4">
        <f>_xlfn.XLOOKUP(E43,Roles[ASSSIGNED ROLE],Roles[Points],"")</f>
        <v>1.6666666666666667</v>
      </c>
      <c r="H43" s="4">
        <f>_xlfn.XLOOKUP(G43,Roles[ASSSIGNED ROLE],Roles[Points],"")</f>
        <v>0</v>
      </c>
      <c r="J43" s="4">
        <f>_xlfn.XLOOKUP(I43,Roles[ASSSIGNED ROLE],Roles[Points],"")</f>
        <v>0</v>
      </c>
      <c r="L43" s="4">
        <f>_xlfn.XLOOKUP(K43,Roles[ASSSIGNED ROLE],Roles[Points],"")</f>
        <v>0</v>
      </c>
      <c r="N43" s="4">
        <f>_xlfn.XLOOKUP(M43,Roles[ASSSIGNED ROLE],Roles[Points],"")</f>
        <v>0</v>
      </c>
      <c r="P43" s="4">
        <f>_xlfn.XLOOKUP(O43,Roles[ASSSIGNED ROLE],Roles[Points],"")</f>
        <v>0</v>
      </c>
    </row>
    <row r="44" spans="1:16" x14ac:dyDescent="0.25">
      <c r="A44" s="52"/>
      <c r="B44" s="4">
        <f>_xlfn.XLOOKUP(A44,'Source Information - Staff'!C:C,'Source Information - Staff'!F:F,"")</f>
        <v>0</v>
      </c>
      <c r="C44" s="115">
        <f t="shared" si="0"/>
        <v>0</v>
      </c>
      <c r="D44" s="14">
        <f t="shared" si="1"/>
        <v>16.231884057971016</v>
      </c>
      <c r="E44" s="109" t="s">
        <v>278</v>
      </c>
      <c r="F44" s="4">
        <f>_xlfn.XLOOKUP(E44,Roles[ASSSIGNED ROLE],Roles[Points],"")</f>
        <v>11.594202898550725</v>
      </c>
      <c r="G44" s="105" t="s">
        <v>261</v>
      </c>
      <c r="H44" s="4">
        <f>_xlfn.XLOOKUP(G44,Roles[ASSSIGNED ROLE],Roles[Points],"")</f>
        <v>4.63768115942029</v>
      </c>
      <c r="J44" s="4">
        <f>_xlfn.XLOOKUP(I44,Roles[ASSSIGNED ROLE],Roles[Points],"")</f>
        <v>0</v>
      </c>
      <c r="L44" s="4">
        <f>_xlfn.XLOOKUP(K44,Roles[ASSSIGNED ROLE],Roles[Points],"")</f>
        <v>0</v>
      </c>
      <c r="N44" s="4">
        <f>_xlfn.XLOOKUP(M44,Roles[ASSSIGNED ROLE],Roles[Points],"")</f>
        <v>0</v>
      </c>
      <c r="P44" s="4">
        <f>_xlfn.XLOOKUP(O44,Roles[ASSSIGNED ROLE],Roles[Points],"")</f>
        <v>0</v>
      </c>
    </row>
    <row r="45" spans="1:16" x14ac:dyDescent="0.25">
      <c r="A45" s="52"/>
      <c r="B45" s="4">
        <f>_xlfn.XLOOKUP(A45,'Source Information - Staff'!C:C,'Source Information - Staff'!F:F,"")</f>
        <v>0</v>
      </c>
      <c r="C45" s="115">
        <f t="shared" si="0"/>
        <v>0</v>
      </c>
      <c r="D45" s="14">
        <f t="shared" si="1"/>
        <v>0</v>
      </c>
      <c r="E45" s="109"/>
      <c r="F45" s="4">
        <f>_xlfn.XLOOKUP(E45,Roles[ASSSIGNED ROLE],Roles[Points],"")</f>
        <v>0</v>
      </c>
      <c r="H45" s="4">
        <f>_xlfn.XLOOKUP(G45,Roles[ASSSIGNED ROLE],Roles[Points],"")</f>
        <v>0</v>
      </c>
      <c r="J45" s="4">
        <f>_xlfn.XLOOKUP(I45,Roles[ASSSIGNED ROLE],Roles[Points],"")</f>
        <v>0</v>
      </c>
      <c r="L45" s="4">
        <f>_xlfn.XLOOKUP(K45,Roles[ASSSIGNED ROLE],Roles[Points],"")</f>
        <v>0</v>
      </c>
      <c r="N45" s="4">
        <f>_xlfn.XLOOKUP(M45,Roles[ASSSIGNED ROLE],Roles[Points],"")</f>
        <v>0</v>
      </c>
      <c r="P45" s="4">
        <f>_xlfn.XLOOKUP(O45,Roles[ASSSIGNED ROLE],Roles[Points],"")</f>
        <v>0</v>
      </c>
    </row>
    <row r="46" spans="1:16" x14ac:dyDescent="0.25">
      <c r="A46" s="52"/>
      <c r="B46" s="4">
        <f>_xlfn.XLOOKUP(A46,'Source Information - Staff'!C:C,'Source Information - Staff'!F:F,"")</f>
        <v>0</v>
      </c>
      <c r="C46" s="115">
        <f t="shared" si="0"/>
        <v>0</v>
      </c>
      <c r="D46" s="14">
        <f t="shared" si="1"/>
        <v>0</v>
      </c>
      <c r="E46" s="109"/>
      <c r="F46" s="4">
        <f>_xlfn.XLOOKUP(E46,Roles[ASSSIGNED ROLE],Roles[Points],"")</f>
        <v>0</v>
      </c>
      <c r="H46" s="4">
        <f>_xlfn.XLOOKUP(G46,Roles[ASSSIGNED ROLE],Roles[Points],"")</f>
        <v>0</v>
      </c>
      <c r="J46" s="4">
        <f>_xlfn.XLOOKUP(I46,Roles[ASSSIGNED ROLE],Roles[Points],"")</f>
        <v>0</v>
      </c>
      <c r="L46" s="4">
        <f>_xlfn.XLOOKUP(K46,Roles[ASSSIGNED ROLE],Roles[Points],"")</f>
        <v>0</v>
      </c>
      <c r="N46" s="4">
        <f>_xlfn.XLOOKUP(M46,Roles[ASSSIGNED ROLE],Roles[Points],"")</f>
        <v>0</v>
      </c>
      <c r="P46" s="4">
        <f>_xlfn.XLOOKUP(O46,Roles[ASSSIGNED ROLE],Roles[Points],"")</f>
        <v>0</v>
      </c>
    </row>
    <row r="47" spans="1:16" x14ac:dyDescent="0.25">
      <c r="A47" s="52"/>
      <c r="B47" s="4">
        <f>_xlfn.XLOOKUP(A47,'Source Information - Staff'!C:C,'Source Information - Staff'!F:F,"")</f>
        <v>0</v>
      </c>
      <c r="C47" s="115">
        <f t="shared" si="0"/>
        <v>0</v>
      </c>
      <c r="D47" s="14">
        <f t="shared" si="1"/>
        <v>0</v>
      </c>
      <c r="E47" s="109"/>
      <c r="F47" s="4">
        <f>_xlfn.XLOOKUP(E47,Roles[ASSSIGNED ROLE],Roles[Points],"")</f>
        <v>0</v>
      </c>
      <c r="H47" s="4">
        <f>_xlfn.XLOOKUP(G47,Roles[ASSSIGNED ROLE],Roles[Points],"")</f>
        <v>0</v>
      </c>
      <c r="J47" s="4">
        <f>_xlfn.XLOOKUP(I47,Roles[ASSSIGNED ROLE],Roles[Points],"")</f>
        <v>0</v>
      </c>
      <c r="L47" s="4">
        <f>_xlfn.XLOOKUP(K47,Roles[ASSSIGNED ROLE],Roles[Points],"")</f>
        <v>0</v>
      </c>
      <c r="N47" s="4">
        <f>_xlfn.XLOOKUP(M47,Roles[ASSSIGNED ROLE],Roles[Points],"")</f>
        <v>0</v>
      </c>
      <c r="P47" s="4">
        <f>_xlfn.XLOOKUP(O47,Roles[ASSSIGNED ROLE],Roles[Points],"")</f>
        <v>0</v>
      </c>
    </row>
    <row r="48" spans="1:16" x14ac:dyDescent="0.25">
      <c r="A48" s="52"/>
      <c r="B48" s="4">
        <f>_xlfn.XLOOKUP(A48,'Source Information - Staff'!C:C,'Source Information - Staff'!F:F,"")</f>
        <v>0</v>
      </c>
      <c r="C48" s="115">
        <f t="shared" si="0"/>
        <v>0</v>
      </c>
      <c r="D48" s="14">
        <f t="shared" si="1"/>
        <v>0</v>
      </c>
      <c r="E48" s="109"/>
      <c r="F48" s="4">
        <f>_xlfn.XLOOKUP(E48,Roles[ASSSIGNED ROLE],Roles[Points],"")</f>
        <v>0</v>
      </c>
      <c r="H48" s="4">
        <f>_xlfn.XLOOKUP(G48,Roles[ASSSIGNED ROLE],Roles[Points],"")</f>
        <v>0</v>
      </c>
      <c r="J48" s="4">
        <f>_xlfn.XLOOKUP(I48,Roles[ASSSIGNED ROLE],Roles[Points],"")</f>
        <v>0</v>
      </c>
      <c r="L48" s="4">
        <f>_xlfn.XLOOKUP(K48,Roles[ASSSIGNED ROLE],Roles[Points],"")</f>
        <v>0</v>
      </c>
      <c r="N48" s="4">
        <f>_xlfn.XLOOKUP(M48,Roles[ASSSIGNED ROLE],Roles[Points],"")</f>
        <v>0</v>
      </c>
      <c r="P48" s="4">
        <f>_xlfn.XLOOKUP(O48,Roles[ASSSIGNED ROLE],Roles[Points],"")</f>
        <v>0</v>
      </c>
    </row>
    <row r="49" spans="1:16" x14ac:dyDescent="0.25">
      <c r="A49" s="52"/>
      <c r="B49" s="4">
        <f>_xlfn.XLOOKUP(A49,'Source Information - Staff'!C:C,'Source Information - Staff'!F:F,"")</f>
        <v>0</v>
      </c>
      <c r="C49" s="115">
        <f t="shared" si="0"/>
        <v>0</v>
      </c>
      <c r="D49" s="14">
        <f t="shared" si="1"/>
        <v>0</v>
      </c>
      <c r="E49" s="109"/>
      <c r="F49" s="4">
        <f>_xlfn.XLOOKUP(E49,Roles[ASSSIGNED ROLE],Roles[Points],"")</f>
        <v>0</v>
      </c>
      <c r="H49" s="4">
        <f>_xlfn.XLOOKUP(G49,Roles[ASSSIGNED ROLE],Roles[Points],"")</f>
        <v>0</v>
      </c>
      <c r="J49" s="4">
        <f>_xlfn.XLOOKUP(I49,Roles[ASSSIGNED ROLE],Roles[Points],"")</f>
        <v>0</v>
      </c>
      <c r="L49" s="4">
        <f>_xlfn.XLOOKUP(K49,Roles[ASSSIGNED ROLE],Roles[Points],"")</f>
        <v>0</v>
      </c>
      <c r="N49" s="4">
        <f>_xlfn.XLOOKUP(M49,Roles[ASSSIGNED ROLE],Roles[Points],"")</f>
        <v>0</v>
      </c>
      <c r="P49" s="4">
        <f>_xlfn.XLOOKUP(O49,Roles[ASSSIGNED ROLE],Roles[Points],"")</f>
        <v>0</v>
      </c>
    </row>
    <row r="50" spans="1:16" x14ac:dyDescent="0.25">
      <c r="A50" s="52"/>
      <c r="B50" s="4">
        <f>_xlfn.XLOOKUP(A50,'Source Information - Staff'!C:C,'Source Information - Staff'!F:F,"")</f>
        <v>0</v>
      </c>
      <c r="C50" s="115">
        <f t="shared" si="0"/>
        <v>0</v>
      </c>
      <c r="D50" s="14">
        <f t="shared" si="1"/>
        <v>0</v>
      </c>
      <c r="E50" s="109"/>
      <c r="F50" s="4">
        <f>_xlfn.XLOOKUP(E50,Roles[ASSSIGNED ROLE],Roles[Points],"")</f>
        <v>0</v>
      </c>
      <c r="H50" s="4">
        <f>_xlfn.XLOOKUP(G50,Roles[ASSSIGNED ROLE],Roles[Points],"")</f>
        <v>0</v>
      </c>
      <c r="J50" s="4">
        <f>_xlfn.XLOOKUP(I50,Roles[ASSSIGNED ROLE],Roles[Points],"")</f>
        <v>0</v>
      </c>
      <c r="L50" s="4">
        <f>_xlfn.XLOOKUP(K50,Roles[ASSSIGNED ROLE],Roles[Points],"")</f>
        <v>0</v>
      </c>
      <c r="N50" s="4">
        <f>_xlfn.XLOOKUP(M50,Roles[ASSSIGNED ROLE],Roles[Points],"")</f>
        <v>0</v>
      </c>
      <c r="P50" s="4">
        <f>_xlfn.XLOOKUP(O50,Roles[ASSSIGNED ROLE],Roles[Points],"")</f>
        <v>0</v>
      </c>
    </row>
    <row r="51" spans="1:16" x14ac:dyDescent="0.25">
      <c r="A51" s="52"/>
      <c r="B51" s="4">
        <f>_xlfn.XLOOKUP(A51,'Source Information - Staff'!C:C,'Source Information - Staff'!F:F,"")</f>
        <v>0</v>
      </c>
      <c r="C51" s="115">
        <f t="shared" si="0"/>
        <v>0</v>
      </c>
      <c r="D51" s="14">
        <f t="shared" si="1"/>
        <v>4.0579710144927539</v>
      </c>
      <c r="E51" s="109" t="s">
        <v>279</v>
      </c>
      <c r="F51" s="4">
        <f>_xlfn.XLOOKUP(E51,Roles[ASSSIGNED ROLE],Roles[Points],"")</f>
        <v>4.0579710144927539</v>
      </c>
      <c r="H51" s="4">
        <f>_xlfn.XLOOKUP(G51,Roles[ASSSIGNED ROLE],Roles[Points],"")</f>
        <v>0</v>
      </c>
      <c r="J51" s="4">
        <f>_xlfn.XLOOKUP(I51,Roles[ASSSIGNED ROLE],Roles[Points],"")</f>
        <v>0</v>
      </c>
      <c r="L51" s="4">
        <f>_xlfn.XLOOKUP(K51,Roles[ASSSIGNED ROLE],Roles[Points],"")</f>
        <v>0</v>
      </c>
      <c r="N51" s="4">
        <f>_xlfn.XLOOKUP(M51,Roles[ASSSIGNED ROLE],Roles[Points],"")</f>
        <v>0</v>
      </c>
      <c r="P51" s="4">
        <f>_xlfn.XLOOKUP(O51,Roles[ASSSIGNED ROLE],Roles[Points],"")</f>
        <v>0</v>
      </c>
    </row>
    <row r="52" spans="1:16" x14ac:dyDescent="0.25">
      <c r="A52" s="52"/>
      <c r="B52" s="4">
        <f>_xlfn.XLOOKUP(A52,'Source Information - Staff'!C:C,'Source Information - Staff'!F:F,"")</f>
        <v>0</v>
      </c>
      <c r="C52" s="115">
        <f t="shared" si="0"/>
        <v>0</v>
      </c>
      <c r="D52" s="14">
        <f t="shared" si="1"/>
        <v>0</v>
      </c>
      <c r="E52" s="109"/>
      <c r="F52" s="4">
        <f>_xlfn.XLOOKUP(E52,Roles[ASSSIGNED ROLE],Roles[Points],"")</f>
        <v>0</v>
      </c>
      <c r="H52" s="4">
        <f>_xlfn.XLOOKUP(G52,Roles[ASSSIGNED ROLE],Roles[Points],"")</f>
        <v>0</v>
      </c>
      <c r="J52" s="4">
        <f>_xlfn.XLOOKUP(I52,Roles[ASSSIGNED ROLE],Roles[Points],"")</f>
        <v>0</v>
      </c>
      <c r="L52" s="4">
        <f>_xlfn.XLOOKUP(K52,Roles[ASSSIGNED ROLE],Roles[Points],"")</f>
        <v>0</v>
      </c>
      <c r="N52" s="4">
        <f>_xlfn.XLOOKUP(M52,Roles[ASSSIGNED ROLE],Roles[Points],"")</f>
        <v>0</v>
      </c>
      <c r="P52" s="4">
        <f>_xlfn.XLOOKUP(O52,Roles[ASSSIGNED ROLE],Roles[Points],"")</f>
        <v>0</v>
      </c>
    </row>
    <row r="53" spans="1:16" x14ac:dyDescent="0.25">
      <c r="A53" s="52"/>
      <c r="B53" s="4">
        <f>_xlfn.XLOOKUP(A53,'Source Information - Staff'!C:C,'Source Information - Staff'!F:F,"")</f>
        <v>0</v>
      </c>
      <c r="C53" s="115">
        <f t="shared" si="0"/>
        <v>0</v>
      </c>
      <c r="D53" s="14">
        <f t="shared" si="1"/>
        <v>0</v>
      </c>
      <c r="E53" s="109"/>
      <c r="F53" s="4">
        <f>_xlfn.XLOOKUP(E53,Roles[ASSSIGNED ROLE],Roles[Points],"")</f>
        <v>0</v>
      </c>
      <c r="H53" s="4">
        <f>_xlfn.XLOOKUP(G53,Roles[ASSSIGNED ROLE],Roles[Points],"")</f>
        <v>0</v>
      </c>
      <c r="J53" s="4">
        <f>_xlfn.XLOOKUP(I53,Roles[ASSSIGNED ROLE],Roles[Points],"")</f>
        <v>0</v>
      </c>
      <c r="L53" s="4">
        <f>_xlfn.XLOOKUP(K53,Roles[ASSSIGNED ROLE],Roles[Points],"")</f>
        <v>0</v>
      </c>
      <c r="N53" s="4">
        <f>_xlfn.XLOOKUP(M53,Roles[ASSSIGNED ROLE],Roles[Points],"")</f>
        <v>0</v>
      </c>
      <c r="P53" s="4">
        <f>_xlfn.XLOOKUP(O53,Roles[ASSSIGNED ROLE],Roles[Points],"")</f>
        <v>0</v>
      </c>
    </row>
    <row r="54" spans="1:16" x14ac:dyDescent="0.25">
      <c r="A54" s="52"/>
      <c r="B54" s="4">
        <f>_xlfn.XLOOKUP(A54,'Source Information - Staff'!C:C,'Source Information - Staff'!F:F,"")</f>
        <v>0</v>
      </c>
      <c r="C54" s="115">
        <f t="shared" si="0"/>
        <v>0</v>
      </c>
      <c r="D54" s="14">
        <f t="shared" si="1"/>
        <v>4.0579710144927539</v>
      </c>
      <c r="E54" s="109" t="s">
        <v>280</v>
      </c>
      <c r="F54" s="4">
        <f>_xlfn.XLOOKUP(E54,Roles[ASSSIGNED ROLE],Roles[Points],"")</f>
        <v>4.0579710144927539</v>
      </c>
      <c r="H54" s="4">
        <f>_xlfn.XLOOKUP(G54,Roles[ASSSIGNED ROLE],Roles[Points],"")</f>
        <v>0</v>
      </c>
      <c r="J54" s="4">
        <f>_xlfn.XLOOKUP(I54,Roles[ASSSIGNED ROLE],Roles[Points],"")</f>
        <v>0</v>
      </c>
      <c r="L54" s="4">
        <f>_xlfn.XLOOKUP(K54,Roles[ASSSIGNED ROLE],Roles[Points],"")</f>
        <v>0</v>
      </c>
      <c r="N54" s="4">
        <f>_xlfn.XLOOKUP(M54,Roles[ASSSIGNED ROLE],Roles[Points],"")</f>
        <v>0</v>
      </c>
      <c r="P54" s="4">
        <f>_xlfn.XLOOKUP(O54,Roles[ASSSIGNED ROLE],Roles[Points],"")</f>
        <v>0</v>
      </c>
    </row>
    <row r="55" spans="1:16" x14ac:dyDescent="0.25">
      <c r="A55" s="52"/>
      <c r="B55" s="4">
        <f>_xlfn.XLOOKUP(A55,'Source Information - Staff'!C:C,'Source Information - Staff'!F:F,"")</f>
        <v>0</v>
      </c>
      <c r="C55" s="115">
        <f t="shared" si="0"/>
        <v>0</v>
      </c>
      <c r="D55" s="14">
        <f t="shared" si="1"/>
        <v>51.869565217391312</v>
      </c>
      <c r="E55" s="109" t="s">
        <v>247</v>
      </c>
      <c r="F55" s="4">
        <f>_xlfn.XLOOKUP(E55,Roles[ASSSIGNED ROLE],Roles[Points],"")</f>
        <v>1.6666666666666667</v>
      </c>
      <c r="G55" s="105" t="s">
        <v>264</v>
      </c>
      <c r="H55" s="4">
        <f>_xlfn.XLOOKUP(G55,Roles[ASSSIGNED ROLE],Roles[Points],"")</f>
        <v>20</v>
      </c>
      <c r="I55" s="105" t="s">
        <v>255</v>
      </c>
      <c r="J55" s="4">
        <f>_xlfn.XLOOKUP(I55,Roles[ASSSIGNED ROLE],Roles[Points],"")</f>
        <v>20</v>
      </c>
      <c r="K55" s="105" t="s">
        <v>252</v>
      </c>
      <c r="L55" s="4">
        <f>_xlfn.XLOOKUP(K55,Roles[ASSSIGNED ROLE],Roles[Points],"")</f>
        <v>10.202898550724637</v>
      </c>
      <c r="N55" s="4">
        <f>_xlfn.XLOOKUP(M55,Roles[ASSSIGNED ROLE],Roles[Points],"")</f>
        <v>0</v>
      </c>
      <c r="P55" s="4">
        <f>_xlfn.XLOOKUP(O55,Roles[ASSSIGNED ROLE],Roles[Points],"")</f>
        <v>0</v>
      </c>
    </row>
    <row r="56" spans="1:16" x14ac:dyDescent="0.25">
      <c r="A56" s="52"/>
      <c r="B56" s="4">
        <f>_xlfn.XLOOKUP(A56,'Source Information - Staff'!C:C,'Source Information - Staff'!F:F,"")</f>
        <v>0</v>
      </c>
      <c r="C56" s="115">
        <f t="shared" si="0"/>
        <v>0</v>
      </c>
      <c r="D56" s="14">
        <f t="shared" si="1"/>
        <v>0</v>
      </c>
      <c r="E56" s="109"/>
      <c r="F56" s="4">
        <f>_xlfn.XLOOKUP(E56,Roles[ASSSIGNED ROLE],Roles[Points],"")</f>
        <v>0</v>
      </c>
      <c r="H56" s="4">
        <f>_xlfn.XLOOKUP(G56,Roles[ASSSIGNED ROLE],Roles[Points],"")</f>
        <v>0</v>
      </c>
      <c r="J56" s="4">
        <f>_xlfn.XLOOKUP(I56,Roles[ASSSIGNED ROLE],Roles[Points],"")</f>
        <v>0</v>
      </c>
      <c r="L56" s="4">
        <f>_xlfn.XLOOKUP(K56,Roles[ASSSIGNED ROLE],Roles[Points],"")</f>
        <v>0</v>
      </c>
      <c r="N56" s="4">
        <f>_xlfn.XLOOKUP(M56,Roles[ASSSIGNED ROLE],Roles[Points],"")</f>
        <v>0</v>
      </c>
      <c r="P56" s="4">
        <f>_xlfn.XLOOKUP(O56,Roles[ASSSIGNED ROLE],Roles[Points],"")</f>
        <v>0</v>
      </c>
    </row>
    <row r="57" spans="1:16" x14ac:dyDescent="0.25">
      <c r="A57" s="52"/>
      <c r="B57" s="4">
        <f>_xlfn.XLOOKUP(A57,'Source Information - Staff'!C:C,'Source Information - Staff'!F:F,"")</f>
        <v>0</v>
      </c>
      <c r="C57" s="115">
        <f t="shared" si="0"/>
        <v>0</v>
      </c>
      <c r="D57" s="14">
        <f t="shared" si="1"/>
        <v>7.8</v>
      </c>
      <c r="E57" s="109" t="s">
        <v>281</v>
      </c>
      <c r="F57" s="4">
        <f>_xlfn.XLOOKUP(E57,Roles[ASSSIGNED ROLE],Roles[Points],"")</f>
        <v>7.8</v>
      </c>
      <c r="H57" s="4">
        <f>_xlfn.XLOOKUP(G57,Roles[ASSSIGNED ROLE],Roles[Points],"")</f>
        <v>0</v>
      </c>
      <c r="J57" s="4">
        <f>_xlfn.XLOOKUP(I57,Roles[ASSSIGNED ROLE],Roles[Points],"")</f>
        <v>0</v>
      </c>
      <c r="L57" s="4">
        <f>_xlfn.XLOOKUP(K57,Roles[ASSSIGNED ROLE],Roles[Points],"")</f>
        <v>0</v>
      </c>
      <c r="N57" s="4">
        <f>_xlfn.XLOOKUP(M57,Roles[ASSSIGNED ROLE],Roles[Points],"")</f>
        <v>0</v>
      </c>
      <c r="P57" s="4">
        <f>_xlfn.XLOOKUP(O57,Roles[ASSSIGNED ROLE],Roles[Points],"")</f>
        <v>0</v>
      </c>
    </row>
    <row r="58" spans="1:16" x14ac:dyDescent="0.25">
      <c r="A58" s="52"/>
      <c r="B58" s="4">
        <f>_xlfn.XLOOKUP(A58,'Source Information - Staff'!C:C,'Source Information - Staff'!F:F,"")</f>
        <v>0</v>
      </c>
      <c r="C58" s="115">
        <f t="shared" si="0"/>
        <v>0</v>
      </c>
      <c r="D58" s="14">
        <f t="shared" si="1"/>
        <v>0</v>
      </c>
      <c r="E58" s="109"/>
      <c r="F58" s="4">
        <f>_xlfn.XLOOKUP(E58,Roles[ASSSIGNED ROLE],Roles[Points],"")</f>
        <v>0</v>
      </c>
      <c r="H58" s="4">
        <f>_xlfn.XLOOKUP(G58,Roles[ASSSIGNED ROLE],Roles[Points],"")</f>
        <v>0</v>
      </c>
      <c r="J58" s="4">
        <f>_xlfn.XLOOKUP(I58,Roles[ASSSIGNED ROLE],Roles[Points],"")</f>
        <v>0</v>
      </c>
      <c r="L58" s="4">
        <f>_xlfn.XLOOKUP(K58,Roles[ASSSIGNED ROLE],Roles[Points],"")</f>
        <v>0</v>
      </c>
      <c r="N58" s="4">
        <f>_xlfn.XLOOKUP(M58,Roles[ASSSIGNED ROLE],Roles[Points],"")</f>
        <v>0</v>
      </c>
      <c r="P58" s="4">
        <f>_xlfn.XLOOKUP(O58,Roles[ASSSIGNED ROLE],Roles[Points],"")</f>
        <v>0</v>
      </c>
    </row>
    <row r="59" spans="1:16" x14ac:dyDescent="0.25">
      <c r="A59" s="52"/>
      <c r="B59" s="4">
        <f>_xlfn.XLOOKUP(A59,'Source Information - Staff'!C:C,'Source Information - Staff'!F:F,"")</f>
        <v>0</v>
      </c>
      <c r="C59" s="115">
        <f t="shared" si="0"/>
        <v>0</v>
      </c>
      <c r="D59" s="14">
        <f t="shared" si="1"/>
        <v>0</v>
      </c>
      <c r="E59" s="109"/>
      <c r="F59" s="4">
        <f>_xlfn.XLOOKUP(E59,Roles[ASSSIGNED ROLE],Roles[Points],"")</f>
        <v>0</v>
      </c>
      <c r="H59" s="4">
        <f>_xlfn.XLOOKUP(G59,Roles[ASSSIGNED ROLE],Roles[Points],"")</f>
        <v>0</v>
      </c>
      <c r="J59" s="4">
        <f>_xlfn.XLOOKUP(I59,Roles[ASSSIGNED ROLE],Roles[Points],"")</f>
        <v>0</v>
      </c>
      <c r="L59" s="4">
        <f>_xlfn.XLOOKUP(K59,Roles[ASSSIGNED ROLE],Roles[Points],"")</f>
        <v>0</v>
      </c>
      <c r="N59" s="4">
        <f>_xlfn.XLOOKUP(M59,Roles[ASSSIGNED ROLE],Roles[Points],"")</f>
        <v>0</v>
      </c>
      <c r="P59" s="4">
        <f>_xlfn.XLOOKUP(O59,Roles[ASSSIGNED ROLE],Roles[Points],"")</f>
        <v>0</v>
      </c>
    </row>
    <row r="60" spans="1:16" x14ac:dyDescent="0.25">
      <c r="A60" s="52"/>
      <c r="B60" s="4">
        <f>_xlfn.XLOOKUP(A60,'Source Information - Staff'!C:C,'Source Information - Staff'!F:F,"")</f>
        <v>0</v>
      </c>
      <c r="C60" s="115">
        <f t="shared" si="0"/>
        <v>0</v>
      </c>
      <c r="D60" s="14">
        <f t="shared" si="1"/>
        <v>0</v>
      </c>
      <c r="E60" s="109"/>
      <c r="F60" s="4">
        <f>_xlfn.XLOOKUP(E60,Roles[ASSSIGNED ROLE],Roles[Points],"")</f>
        <v>0</v>
      </c>
      <c r="H60" s="4">
        <f>_xlfn.XLOOKUP(G60,Roles[ASSSIGNED ROLE],Roles[Points],"")</f>
        <v>0</v>
      </c>
      <c r="J60" s="4">
        <f>_xlfn.XLOOKUP(I60,Roles[ASSSIGNED ROLE],Roles[Points],"")</f>
        <v>0</v>
      </c>
      <c r="L60" s="4">
        <f>_xlfn.XLOOKUP(K60,Roles[ASSSIGNED ROLE],Roles[Points],"")</f>
        <v>0</v>
      </c>
      <c r="N60" s="4">
        <f>_xlfn.XLOOKUP(M60,Roles[ASSSIGNED ROLE],Roles[Points],"")</f>
        <v>0</v>
      </c>
      <c r="P60" s="4">
        <f>_xlfn.XLOOKUP(O60,Roles[ASSSIGNED ROLE],Roles[Points],"")</f>
        <v>0</v>
      </c>
    </row>
    <row r="61" spans="1:16" x14ac:dyDescent="0.25">
      <c r="A61" s="52"/>
      <c r="B61" s="4">
        <f>_xlfn.XLOOKUP(A61,'Source Information - Staff'!C:C,'Source Information - Staff'!F:F,"")</f>
        <v>0</v>
      </c>
      <c r="C61" s="115">
        <f t="shared" si="0"/>
        <v>0</v>
      </c>
      <c r="D61" s="14">
        <f t="shared" si="1"/>
        <v>0</v>
      </c>
      <c r="E61" s="109"/>
      <c r="F61" s="4">
        <f>_xlfn.XLOOKUP(E61,Roles[ASSSIGNED ROLE],Roles[Points],"")</f>
        <v>0</v>
      </c>
      <c r="H61" s="4">
        <f>_xlfn.XLOOKUP(G61,Roles[ASSSIGNED ROLE],Roles[Points],"")</f>
        <v>0</v>
      </c>
      <c r="J61" s="4">
        <f>_xlfn.XLOOKUP(I61,Roles[ASSSIGNED ROLE],Roles[Points],"")</f>
        <v>0</v>
      </c>
      <c r="L61" s="4">
        <f>_xlfn.XLOOKUP(K61,Roles[ASSSIGNED ROLE],Roles[Points],"")</f>
        <v>0</v>
      </c>
      <c r="N61" s="4">
        <f>_xlfn.XLOOKUP(M61,Roles[ASSSIGNED ROLE],Roles[Points],"")</f>
        <v>0</v>
      </c>
      <c r="P61" s="4">
        <f>_xlfn.XLOOKUP(O61,Roles[ASSSIGNED ROLE],Roles[Points],"")</f>
        <v>0</v>
      </c>
    </row>
    <row r="62" spans="1:16" x14ac:dyDescent="0.25">
      <c r="A62" s="52"/>
      <c r="B62" s="4">
        <f>_xlfn.XLOOKUP(A62,'Source Information - Staff'!C:C,'Source Information - Staff'!F:F,"")</f>
        <v>0</v>
      </c>
      <c r="C62" s="115">
        <f t="shared" si="0"/>
        <v>0</v>
      </c>
      <c r="D62" s="14">
        <f t="shared" si="1"/>
        <v>0</v>
      </c>
      <c r="E62" s="109"/>
      <c r="F62" s="4">
        <f>_xlfn.XLOOKUP(E62,Roles[ASSSIGNED ROLE],Roles[Points],"")</f>
        <v>0</v>
      </c>
      <c r="H62" s="4">
        <f>_xlfn.XLOOKUP(G62,Roles[ASSSIGNED ROLE],Roles[Points],"")</f>
        <v>0</v>
      </c>
      <c r="J62" s="4">
        <f>_xlfn.XLOOKUP(I62,Roles[ASSSIGNED ROLE],Roles[Points],"")</f>
        <v>0</v>
      </c>
      <c r="L62" s="4">
        <f>_xlfn.XLOOKUP(K62,Roles[ASSSIGNED ROLE],Roles[Points],"")</f>
        <v>0</v>
      </c>
      <c r="N62" s="4">
        <f>_xlfn.XLOOKUP(M62,Roles[ASSSIGNED ROLE],Roles[Points],"")</f>
        <v>0</v>
      </c>
      <c r="P62" s="4">
        <f>_xlfn.XLOOKUP(O62,Roles[ASSSIGNED ROLE],Roles[Points],"")</f>
        <v>0</v>
      </c>
    </row>
    <row r="63" spans="1:16" x14ac:dyDescent="0.25">
      <c r="A63" s="52"/>
      <c r="B63" s="4">
        <f>_xlfn.XLOOKUP(A63,'Source Information - Staff'!C:C,'Source Information - Staff'!F:F,"")</f>
        <v>0</v>
      </c>
      <c r="C63" s="115">
        <f t="shared" si="0"/>
        <v>0</v>
      </c>
      <c r="D63" s="14">
        <f t="shared" si="1"/>
        <v>0</v>
      </c>
      <c r="E63" s="109"/>
      <c r="F63" s="4">
        <f>_xlfn.XLOOKUP(E63,Roles[ASSSIGNED ROLE],Roles[Points],"")</f>
        <v>0</v>
      </c>
      <c r="H63" s="4">
        <f>_xlfn.XLOOKUP(G63,Roles[ASSSIGNED ROLE],Roles[Points],"")</f>
        <v>0</v>
      </c>
      <c r="J63" s="4">
        <f>_xlfn.XLOOKUP(I63,Roles[ASSSIGNED ROLE],Roles[Points],"")</f>
        <v>0</v>
      </c>
      <c r="L63" s="4">
        <f>_xlfn.XLOOKUP(K63,Roles[ASSSIGNED ROLE],Roles[Points],"")</f>
        <v>0</v>
      </c>
      <c r="N63" s="4">
        <f>_xlfn.XLOOKUP(M63,Roles[ASSSIGNED ROLE],Roles[Points],"")</f>
        <v>0</v>
      </c>
      <c r="P63" s="4">
        <f>_xlfn.XLOOKUP(O63,Roles[ASSSIGNED ROLE],Roles[Points],"")</f>
        <v>0</v>
      </c>
    </row>
    <row r="64" spans="1:16" x14ac:dyDescent="0.25">
      <c r="A64" s="52"/>
      <c r="B64" s="4">
        <f>_xlfn.XLOOKUP(A64,'Source Information - Staff'!C:C,'Source Information - Staff'!F:F,"")</f>
        <v>0</v>
      </c>
      <c r="C64" s="115">
        <f t="shared" si="0"/>
        <v>0</v>
      </c>
      <c r="D64" s="14">
        <f t="shared" si="1"/>
        <v>3.4782608695652173</v>
      </c>
      <c r="E64" s="109" t="s">
        <v>282</v>
      </c>
      <c r="F64" s="4">
        <f>_xlfn.XLOOKUP(E64,Roles[ASSSIGNED ROLE],Roles[Points],"")</f>
        <v>3.4782608695652173</v>
      </c>
      <c r="H64" s="4">
        <f>_xlfn.XLOOKUP(G64,Roles[ASSSIGNED ROLE],Roles[Points],"")</f>
        <v>0</v>
      </c>
      <c r="J64" s="4">
        <f>_xlfn.XLOOKUP(I64,Roles[ASSSIGNED ROLE],Roles[Points],"")</f>
        <v>0</v>
      </c>
      <c r="L64" s="4">
        <f>_xlfn.XLOOKUP(K64,Roles[ASSSIGNED ROLE],Roles[Points],"")</f>
        <v>0</v>
      </c>
      <c r="N64" s="4">
        <f>_xlfn.XLOOKUP(M64,Roles[ASSSIGNED ROLE],Roles[Points],"")</f>
        <v>0</v>
      </c>
      <c r="P64" s="4">
        <f>_xlfn.XLOOKUP(O64,Roles[ASSSIGNED ROLE],Roles[Points],"")</f>
        <v>0</v>
      </c>
    </row>
    <row r="65" spans="1:16" x14ac:dyDescent="0.25">
      <c r="A65" s="52"/>
      <c r="B65" s="4">
        <f>_xlfn.XLOOKUP(A65,'Source Information - Staff'!C:C,'Source Information - Staff'!F:F,"")</f>
        <v>0</v>
      </c>
      <c r="C65" s="115">
        <f t="shared" si="0"/>
        <v>0</v>
      </c>
      <c r="D65" s="14">
        <f t="shared" si="1"/>
        <v>0</v>
      </c>
      <c r="E65" s="109"/>
      <c r="F65" s="4">
        <f>_xlfn.XLOOKUP(E65,Roles[ASSSIGNED ROLE],Roles[Points],"")</f>
        <v>0</v>
      </c>
      <c r="H65" s="4">
        <f>_xlfn.XLOOKUP(G65,Roles[ASSSIGNED ROLE],Roles[Points],"")</f>
        <v>0</v>
      </c>
      <c r="J65" s="4">
        <f>_xlfn.XLOOKUP(I65,Roles[ASSSIGNED ROLE],Roles[Points],"")</f>
        <v>0</v>
      </c>
      <c r="L65" s="4">
        <f>_xlfn.XLOOKUP(K65,Roles[ASSSIGNED ROLE],Roles[Points],"")</f>
        <v>0</v>
      </c>
      <c r="N65" s="4">
        <f>_xlfn.XLOOKUP(M65,Roles[ASSSIGNED ROLE],Roles[Points],"")</f>
        <v>0</v>
      </c>
      <c r="P65" s="4">
        <f>_xlfn.XLOOKUP(O65,Roles[ASSSIGNED ROLE],Roles[Points],"")</f>
        <v>0</v>
      </c>
    </row>
    <row r="66" spans="1:16" x14ac:dyDescent="0.25">
      <c r="A66" s="52"/>
      <c r="B66" s="4">
        <f>_xlfn.XLOOKUP(A66,'Source Information - Staff'!C:C,'Source Information - Staff'!F:F,"")</f>
        <v>0</v>
      </c>
      <c r="C66" s="115">
        <f t="shared" si="0"/>
        <v>0</v>
      </c>
      <c r="D66" s="14">
        <f t="shared" si="1"/>
        <v>0</v>
      </c>
      <c r="E66" s="109"/>
      <c r="F66" s="4">
        <f>_xlfn.XLOOKUP(E66,Roles[ASSSIGNED ROLE],Roles[Points],"")</f>
        <v>0</v>
      </c>
      <c r="H66" s="4">
        <f>_xlfn.XLOOKUP(G66,Roles[ASSSIGNED ROLE],Roles[Points],"")</f>
        <v>0</v>
      </c>
      <c r="J66" s="4">
        <f>_xlfn.XLOOKUP(I66,Roles[ASSSIGNED ROLE],Roles[Points],"")</f>
        <v>0</v>
      </c>
      <c r="L66" s="4">
        <f>_xlfn.XLOOKUP(K66,Roles[ASSSIGNED ROLE],Roles[Points],"")</f>
        <v>0</v>
      </c>
      <c r="N66" s="4">
        <f>_xlfn.XLOOKUP(M66,Roles[ASSSIGNED ROLE],Roles[Points],"")</f>
        <v>0</v>
      </c>
      <c r="P66" s="4">
        <f>_xlfn.XLOOKUP(O66,Roles[ASSSIGNED ROLE],Roles[Points],"")</f>
        <v>0</v>
      </c>
    </row>
    <row r="67" spans="1:16" x14ac:dyDescent="0.25">
      <c r="A67" s="52"/>
      <c r="B67" s="4">
        <f>_xlfn.XLOOKUP(A67,'Source Information - Staff'!C:C,'Source Information - Staff'!F:F,"")</f>
        <v>0</v>
      </c>
      <c r="C67" s="115">
        <f t="shared" si="0"/>
        <v>0</v>
      </c>
      <c r="D67" s="14">
        <f t="shared" si="1"/>
        <v>0</v>
      </c>
      <c r="E67" s="109"/>
      <c r="F67" s="4">
        <f>_xlfn.XLOOKUP(E67,Roles[ASSSIGNED ROLE],Roles[Points],"")</f>
        <v>0</v>
      </c>
      <c r="H67" s="4">
        <f>_xlfn.XLOOKUP(G67,Roles[ASSSIGNED ROLE],Roles[Points],"")</f>
        <v>0</v>
      </c>
      <c r="J67" s="4">
        <f>_xlfn.XLOOKUP(I67,Roles[ASSSIGNED ROLE],Roles[Points],"")</f>
        <v>0</v>
      </c>
      <c r="L67" s="4">
        <f>_xlfn.XLOOKUP(K67,Roles[ASSSIGNED ROLE],Roles[Points],"")</f>
        <v>0</v>
      </c>
      <c r="N67" s="4">
        <f>_xlfn.XLOOKUP(M67,Roles[ASSSIGNED ROLE],Roles[Points],"")</f>
        <v>0</v>
      </c>
      <c r="P67" s="4">
        <f>_xlfn.XLOOKUP(O67,Roles[ASSSIGNED ROLE],Roles[Points],"")</f>
        <v>0</v>
      </c>
    </row>
    <row r="68" spans="1:16" x14ac:dyDescent="0.25">
      <c r="A68" s="52"/>
      <c r="B68" s="4">
        <f>_xlfn.XLOOKUP(A68,'Source Information - Staff'!C:C,'Source Information - Staff'!F:F,"")</f>
        <v>0</v>
      </c>
      <c r="C68" s="115">
        <f t="shared" ref="C68:C109" si="2">IFERROR((B68*10),"")</f>
        <v>0</v>
      </c>
      <c r="D68" s="14">
        <f t="shared" ref="D68:D109" si="3">SUM(F68,H68,J68,L68,N68)</f>
        <v>0</v>
      </c>
      <c r="E68" s="109"/>
      <c r="F68" s="4">
        <f>_xlfn.XLOOKUP(E68,Roles[ASSSIGNED ROLE],Roles[Points],"")</f>
        <v>0</v>
      </c>
      <c r="H68" s="4">
        <f>_xlfn.XLOOKUP(G68,Roles[ASSSIGNED ROLE],Roles[Points],"")</f>
        <v>0</v>
      </c>
      <c r="J68" s="4">
        <f>_xlfn.XLOOKUP(I68,Roles[ASSSIGNED ROLE],Roles[Points],"")</f>
        <v>0</v>
      </c>
      <c r="L68" s="4">
        <f>_xlfn.XLOOKUP(K68,Roles[ASSSIGNED ROLE],Roles[Points],"")</f>
        <v>0</v>
      </c>
      <c r="N68" s="4">
        <f>_xlfn.XLOOKUP(M68,Roles[ASSSIGNED ROLE],Roles[Points],"")</f>
        <v>0</v>
      </c>
      <c r="P68" s="4">
        <f>_xlfn.XLOOKUP(O68,Roles[ASSSIGNED ROLE],Roles[Points],"")</f>
        <v>0</v>
      </c>
    </row>
    <row r="69" spans="1:16" x14ac:dyDescent="0.25">
      <c r="A69" s="52"/>
      <c r="B69" s="4">
        <f>_xlfn.XLOOKUP(A69,'Source Information - Staff'!C:C,'Source Information - Staff'!F:F,"")</f>
        <v>0</v>
      </c>
      <c r="C69" s="115">
        <f t="shared" si="2"/>
        <v>0</v>
      </c>
      <c r="D69" s="14">
        <f t="shared" si="3"/>
        <v>0</v>
      </c>
      <c r="E69" s="109"/>
      <c r="F69" s="4">
        <f>_xlfn.XLOOKUP(E69,Roles[ASSSIGNED ROLE],Roles[Points],"")</f>
        <v>0</v>
      </c>
      <c r="H69" s="4">
        <f>_xlfn.XLOOKUP(G69,Roles[ASSSIGNED ROLE],Roles[Points],"")</f>
        <v>0</v>
      </c>
      <c r="J69" s="4">
        <f>_xlfn.XLOOKUP(I69,Roles[ASSSIGNED ROLE],Roles[Points],"")</f>
        <v>0</v>
      </c>
      <c r="L69" s="4">
        <f>_xlfn.XLOOKUP(K69,Roles[ASSSIGNED ROLE],Roles[Points],"")</f>
        <v>0</v>
      </c>
      <c r="N69" s="4">
        <f>_xlfn.XLOOKUP(M69,Roles[ASSSIGNED ROLE],Roles[Points],"")</f>
        <v>0</v>
      </c>
      <c r="P69" s="4">
        <f>_xlfn.XLOOKUP(O69,Roles[ASSSIGNED ROLE],Roles[Points],"")</f>
        <v>0</v>
      </c>
    </row>
    <row r="70" spans="1:16" x14ac:dyDescent="0.25">
      <c r="A70" s="52"/>
      <c r="B70" s="4">
        <f>_xlfn.XLOOKUP(A70,'Source Information - Staff'!C:C,'Source Information - Staff'!F:F,"")</f>
        <v>0</v>
      </c>
      <c r="C70" s="115">
        <f t="shared" si="2"/>
        <v>0</v>
      </c>
      <c r="D70" s="14">
        <f t="shared" si="3"/>
        <v>0</v>
      </c>
      <c r="E70" s="109"/>
      <c r="F70" s="4">
        <f>_xlfn.XLOOKUP(E70,Roles[ASSSIGNED ROLE],Roles[Points],"")</f>
        <v>0</v>
      </c>
      <c r="H70" s="4">
        <f>_xlfn.XLOOKUP(G70,Roles[ASSSIGNED ROLE],Roles[Points],"")</f>
        <v>0</v>
      </c>
      <c r="J70" s="4">
        <f>_xlfn.XLOOKUP(I70,Roles[ASSSIGNED ROLE],Roles[Points],"")</f>
        <v>0</v>
      </c>
      <c r="L70" s="4">
        <f>_xlfn.XLOOKUP(K70,Roles[ASSSIGNED ROLE],Roles[Points],"")</f>
        <v>0</v>
      </c>
      <c r="N70" s="4">
        <f>_xlfn.XLOOKUP(M70,Roles[ASSSIGNED ROLE],Roles[Points],"")</f>
        <v>0</v>
      </c>
      <c r="P70" s="4">
        <f>_xlfn.XLOOKUP(O70,Roles[ASSSIGNED ROLE],Roles[Points],"")</f>
        <v>0</v>
      </c>
    </row>
    <row r="71" spans="1:16" x14ac:dyDescent="0.25">
      <c r="A71" s="52"/>
      <c r="B71" s="4">
        <f>_xlfn.XLOOKUP(A71,'Source Information - Staff'!C:C,'Source Information - Staff'!F:F,"")</f>
        <v>0</v>
      </c>
      <c r="C71" s="115">
        <f t="shared" si="2"/>
        <v>0</v>
      </c>
      <c r="D71" s="14">
        <f t="shared" si="3"/>
        <v>0</v>
      </c>
      <c r="E71" s="109"/>
      <c r="F71" s="4">
        <f>_xlfn.XLOOKUP(E71,Roles[ASSSIGNED ROLE],Roles[Points],"")</f>
        <v>0</v>
      </c>
      <c r="H71" s="4">
        <f>_xlfn.XLOOKUP(G71,Roles[ASSSIGNED ROLE],Roles[Points],"")</f>
        <v>0</v>
      </c>
      <c r="J71" s="4">
        <f>_xlfn.XLOOKUP(I71,Roles[ASSSIGNED ROLE],Roles[Points],"")</f>
        <v>0</v>
      </c>
      <c r="L71" s="4">
        <f>_xlfn.XLOOKUP(K71,Roles[ASSSIGNED ROLE],Roles[Points],"")</f>
        <v>0</v>
      </c>
      <c r="N71" s="4">
        <f>_xlfn.XLOOKUP(M71,Roles[ASSSIGNED ROLE],Roles[Points],"")</f>
        <v>0</v>
      </c>
      <c r="P71" s="4">
        <f>_xlfn.XLOOKUP(O71,Roles[ASSSIGNED ROLE],Roles[Points],"")</f>
        <v>0</v>
      </c>
    </row>
    <row r="72" spans="1:16" x14ac:dyDescent="0.25">
      <c r="A72" s="52"/>
      <c r="B72" s="4">
        <f>_xlfn.XLOOKUP(A72,'Source Information - Staff'!C:C,'Source Information - Staff'!F:F,"")</f>
        <v>0</v>
      </c>
      <c r="C72" s="115">
        <f t="shared" si="2"/>
        <v>0</v>
      </c>
      <c r="D72" s="14">
        <f t="shared" si="3"/>
        <v>18.333333333333336</v>
      </c>
      <c r="E72" s="109" t="s">
        <v>247</v>
      </c>
      <c r="F72" s="4">
        <f>_xlfn.XLOOKUP(E72,Roles[ASSSIGNED ROLE],Roles[Points],"")</f>
        <v>1.6666666666666667</v>
      </c>
      <c r="G72" s="105" t="s">
        <v>267</v>
      </c>
      <c r="H72" s="4">
        <f>_xlfn.XLOOKUP(G72,Roles[ASSSIGNED ROLE],Roles[Points],"")</f>
        <v>5</v>
      </c>
      <c r="I72" s="105" t="s">
        <v>259</v>
      </c>
      <c r="J72" s="4">
        <f>_xlfn.XLOOKUP(I72,Roles[ASSSIGNED ROLE],Roles[Points],"")</f>
        <v>5</v>
      </c>
      <c r="K72" s="105" t="s">
        <v>256</v>
      </c>
      <c r="L72" s="4">
        <f>_xlfn.XLOOKUP(K72,Roles[ASSSIGNED ROLE],Roles[Points],"")</f>
        <v>6.666666666666667</v>
      </c>
      <c r="N72" s="4">
        <f>_xlfn.XLOOKUP(M72,Roles[ASSSIGNED ROLE],Roles[Points],"")</f>
        <v>0</v>
      </c>
      <c r="P72" s="4">
        <f>_xlfn.XLOOKUP(O72,Roles[ASSSIGNED ROLE],Roles[Points],"")</f>
        <v>0</v>
      </c>
    </row>
    <row r="73" spans="1:16" x14ac:dyDescent="0.25">
      <c r="A73" s="52"/>
      <c r="B73" s="4">
        <f>_xlfn.XLOOKUP(A73,'Source Information - Staff'!C:C,'Source Information - Staff'!F:F,"")</f>
        <v>0</v>
      </c>
      <c r="C73" s="115">
        <f t="shared" si="2"/>
        <v>0</v>
      </c>
      <c r="D73" s="14">
        <f t="shared" si="3"/>
        <v>0</v>
      </c>
      <c r="E73" s="109"/>
      <c r="F73" s="4">
        <f>_xlfn.XLOOKUP(E73,Roles[ASSSIGNED ROLE],Roles[Points],"")</f>
        <v>0</v>
      </c>
      <c r="H73" s="4">
        <f>_xlfn.XLOOKUP(G73,Roles[ASSSIGNED ROLE],Roles[Points],"")</f>
        <v>0</v>
      </c>
      <c r="J73" s="4">
        <f>_xlfn.XLOOKUP(I73,Roles[ASSSIGNED ROLE],Roles[Points],"")</f>
        <v>0</v>
      </c>
      <c r="L73" s="4">
        <f>_xlfn.XLOOKUP(K73,Roles[ASSSIGNED ROLE],Roles[Points],"")</f>
        <v>0</v>
      </c>
      <c r="N73" s="4">
        <f>_xlfn.XLOOKUP(M73,Roles[ASSSIGNED ROLE],Roles[Points],"")</f>
        <v>0</v>
      </c>
      <c r="P73" s="4">
        <f>_xlfn.XLOOKUP(O73,Roles[ASSSIGNED ROLE],Roles[Points],"")</f>
        <v>0</v>
      </c>
    </row>
    <row r="74" spans="1:16" x14ac:dyDescent="0.25">
      <c r="A74" s="52"/>
      <c r="B74" s="4">
        <f>_xlfn.XLOOKUP(A74,'Source Information - Staff'!C:C,'Source Information - Staff'!F:F,"")</f>
        <v>0</v>
      </c>
      <c r="C74" s="115">
        <f t="shared" si="2"/>
        <v>0</v>
      </c>
      <c r="D74" s="14">
        <f t="shared" si="3"/>
        <v>0</v>
      </c>
      <c r="E74" s="109"/>
      <c r="F74" s="4">
        <f>_xlfn.XLOOKUP(E74,Roles[ASSSIGNED ROLE],Roles[Points],"")</f>
        <v>0</v>
      </c>
      <c r="H74" s="4">
        <f>_xlfn.XLOOKUP(G74,Roles[ASSSIGNED ROLE],Roles[Points],"")</f>
        <v>0</v>
      </c>
      <c r="J74" s="4">
        <f>_xlfn.XLOOKUP(I74,Roles[ASSSIGNED ROLE],Roles[Points],"")</f>
        <v>0</v>
      </c>
      <c r="L74" s="4">
        <f>_xlfn.XLOOKUP(K74,Roles[ASSSIGNED ROLE],Roles[Points],"")</f>
        <v>0</v>
      </c>
      <c r="N74" s="4">
        <f>_xlfn.XLOOKUP(M74,Roles[ASSSIGNED ROLE],Roles[Points],"")</f>
        <v>0</v>
      </c>
      <c r="P74" s="4">
        <f>_xlfn.XLOOKUP(O74,Roles[ASSSIGNED ROLE],Roles[Points],"")</f>
        <v>0</v>
      </c>
    </row>
    <row r="75" spans="1:16" x14ac:dyDescent="0.25">
      <c r="A75" s="52"/>
      <c r="B75" s="4">
        <f>_xlfn.XLOOKUP(A75,'Source Information - Staff'!C:C,'Source Information - Staff'!F:F,"")</f>
        <v>0</v>
      </c>
      <c r="C75" s="115">
        <f t="shared" si="2"/>
        <v>0</v>
      </c>
      <c r="D75" s="14">
        <f t="shared" si="3"/>
        <v>0</v>
      </c>
      <c r="E75" s="109"/>
      <c r="F75" s="4">
        <f>_xlfn.XLOOKUP(E75,Roles[ASSSIGNED ROLE],Roles[Points],"")</f>
        <v>0</v>
      </c>
      <c r="H75" s="4">
        <f>_xlfn.XLOOKUP(G75,Roles[ASSSIGNED ROLE],Roles[Points],"")</f>
        <v>0</v>
      </c>
      <c r="J75" s="4">
        <f>_xlfn.XLOOKUP(I75,Roles[ASSSIGNED ROLE],Roles[Points],"")</f>
        <v>0</v>
      </c>
      <c r="L75" s="4">
        <f>_xlfn.XLOOKUP(K75,Roles[ASSSIGNED ROLE],Roles[Points],"")</f>
        <v>0</v>
      </c>
      <c r="N75" s="4">
        <f>_xlfn.XLOOKUP(M75,Roles[ASSSIGNED ROLE],Roles[Points],"")</f>
        <v>0</v>
      </c>
      <c r="P75" s="4">
        <f>_xlfn.XLOOKUP(O75,Roles[ASSSIGNED ROLE],Roles[Points],"")</f>
        <v>0</v>
      </c>
    </row>
    <row r="76" spans="1:16" x14ac:dyDescent="0.25">
      <c r="A76" s="52"/>
      <c r="B76" s="4">
        <f>_xlfn.XLOOKUP(A76,'Source Information - Staff'!C:C,'Source Information - Staff'!F:F,"")</f>
        <v>0</v>
      </c>
      <c r="C76" s="115">
        <f t="shared" si="2"/>
        <v>0</v>
      </c>
      <c r="D76" s="14">
        <f t="shared" si="3"/>
        <v>70</v>
      </c>
      <c r="E76" s="109" t="s">
        <v>283</v>
      </c>
      <c r="F76" s="4">
        <f>_xlfn.XLOOKUP(E76,Roles[ASSSIGNED ROLE],Roles[Points],"")</f>
        <v>70</v>
      </c>
      <c r="H76" s="4">
        <f>_xlfn.XLOOKUP(G76,Roles[ASSSIGNED ROLE],Roles[Points],"")</f>
        <v>0</v>
      </c>
      <c r="J76" s="4">
        <f>_xlfn.XLOOKUP(I76,Roles[ASSSIGNED ROLE],Roles[Points],"")</f>
        <v>0</v>
      </c>
      <c r="L76" s="4">
        <f>_xlfn.XLOOKUP(K76,Roles[ASSSIGNED ROLE],Roles[Points],"")</f>
        <v>0</v>
      </c>
      <c r="N76" s="4">
        <f>_xlfn.XLOOKUP(M76,Roles[ASSSIGNED ROLE],Roles[Points],"")</f>
        <v>0</v>
      </c>
      <c r="P76" s="4">
        <f>_xlfn.XLOOKUP(O76,Roles[ASSSIGNED ROLE],Roles[Points],"")</f>
        <v>0</v>
      </c>
    </row>
    <row r="77" spans="1:16" x14ac:dyDescent="0.25">
      <c r="A77" s="52"/>
      <c r="B77" s="4">
        <f>_xlfn.XLOOKUP(A77,'Source Information - Staff'!C:C,'Source Information - Staff'!F:F,"")</f>
        <v>0</v>
      </c>
      <c r="C77" s="115">
        <f t="shared" si="2"/>
        <v>0</v>
      </c>
      <c r="D77" s="14">
        <f t="shared" si="3"/>
        <v>12.985507246376812</v>
      </c>
      <c r="E77" s="109" t="s">
        <v>284</v>
      </c>
      <c r="F77" s="4">
        <f>_xlfn.XLOOKUP(E77,Roles[ASSSIGNED ROLE],Roles[Points],"")</f>
        <v>3.0144927536231885</v>
      </c>
      <c r="G77" s="105" t="s">
        <v>268</v>
      </c>
      <c r="H77" s="4">
        <f>_xlfn.XLOOKUP(G77,Roles[ASSSIGNED ROLE],Roles[Points],"")</f>
        <v>4.9855072463768115</v>
      </c>
      <c r="I77" s="105" t="s">
        <v>262</v>
      </c>
      <c r="J77" s="4">
        <f>_xlfn.XLOOKUP(I77,Roles[ASSSIGNED ROLE],Roles[Points],"")</f>
        <v>4.9855072463768115</v>
      </c>
      <c r="L77" s="4">
        <f>_xlfn.XLOOKUP(K77,Roles[ASSSIGNED ROLE],Roles[Points],"")</f>
        <v>0</v>
      </c>
      <c r="N77" s="4">
        <f>_xlfn.XLOOKUP(M77,Roles[ASSSIGNED ROLE],Roles[Points],"")</f>
        <v>0</v>
      </c>
      <c r="P77" s="4">
        <f>_xlfn.XLOOKUP(O77,Roles[ASSSIGNED ROLE],Roles[Points],"")</f>
        <v>0</v>
      </c>
    </row>
    <row r="78" spans="1:16" x14ac:dyDescent="0.25">
      <c r="A78" s="52"/>
      <c r="B78" s="4">
        <f>_xlfn.XLOOKUP(A78,'Source Information - Staff'!C:C,'Source Information - Staff'!F:F,"")</f>
        <v>0</v>
      </c>
      <c r="C78" s="115">
        <f t="shared" si="2"/>
        <v>0</v>
      </c>
      <c r="D78" s="14">
        <f t="shared" si="3"/>
        <v>0</v>
      </c>
      <c r="E78" s="109"/>
      <c r="F78" s="4">
        <f>_xlfn.XLOOKUP(E78,Roles[ASSSIGNED ROLE],Roles[Points],"")</f>
        <v>0</v>
      </c>
      <c r="H78" s="4">
        <f>_xlfn.XLOOKUP(G78,Roles[ASSSIGNED ROLE],Roles[Points],"")</f>
        <v>0</v>
      </c>
      <c r="J78" s="4">
        <f>_xlfn.XLOOKUP(I78,Roles[ASSSIGNED ROLE],Roles[Points],"")</f>
        <v>0</v>
      </c>
      <c r="L78" s="4">
        <f>_xlfn.XLOOKUP(K78,Roles[ASSSIGNED ROLE],Roles[Points],"")</f>
        <v>0</v>
      </c>
      <c r="N78" s="4">
        <f>_xlfn.XLOOKUP(M78,Roles[ASSSIGNED ROLE],Roles[Points],"")</f>
        <v>0</v>
      </c>
      <c r="P78" s="4">
        <f>_xlfn.XLOOKUP(O78,Roles[ASSSIGNED ROLE],Roles[Points],"")</f>
        <v>0</v>
      </c>
    </row>
    <row r="79" spans="1:16" x14ac:dyDescent="0.25">
      <c r="A79" s="52"/>
      <c r="B79" s="4">
        <f>_xlfn.XLOOKUP(A79,'Source Information - Staff'!C:C,'Source Information - Staff'!F:F,"")</f>
        <v>0</v>
      </c>
      <c r="C79" s="115">
        <f t="shared" si="2"/>
        <v>0</v>
      </c>
      <c r="D79" s="14">
        <f t="shared" si="3"/>
        <v>0</v>
      </c>
      <c r="E79" s="109"/>
      <c r="F79" s="4">
        <f>_xlfn.XLOOKUP(E79,Roles[ASSSIGNED ROLE],Roles[Points],"")</f>
        <v>0</v>
      </c>
      <c r="H79" s="4">
        <f>_xlfn.XLOOKUP(G79,Roles[ASSSIGNED ROLE],Roles[Points],"")</f>
        <v>0</v>
      </c>
      <c r="J79" s="4">
        <f>_xlfn.XLOOKUP(I79,Roles[ASSSIGNED ROLE],Roles[Points],"")</f>
        <v>0</v>
      </c>
      <c r="L79" s="4">
        <f>_xlfn.XLOOKUP(K79,Roles[ASSSIGNED ROLE],Roles[Points],"")</f>
        <v>0</v>
      </c>
      <c r="N79" s="4">
        <f>_xlfn.XLOOKUP(M79,Roles[ASSSIGNED ROLE],Roles[Points],"")</f>
        <v>0</v>
      </c>
      <c r="P79" s="4">
        <f>_xlfn.XLOOKUP(O79,Roles[ASSSIGNED ROLE],Roles[Points],"")</f>
        <v>0</v>
      </c>
    </row>
    <row r="80" spans="1:16" x14ac:dyDescent="0.25">
      <c r="A80" s="52"/>
      <c r="B80" s="4">
        <f>_xlfn.XLOOKUP(A80,'Source Information - Staff'!C:C,'Source Information - Staff'!F:F,"")</f>
        <v>0</v>
      </c>
      <c r="C80" s="115">
        <f t="shared" si="2"/>
        <v>0</v>
      </c>
      <c r="D80" s="14">
        <f t="shared" si="3"/>
        <v>1.1594202898550725</v>
      </c>
      <c r="E80" s="109" t="s">
        <v>285</v>
      </c>
      <c r="F80" s="4">
        <f>_xlfn.XLOOKUP(E80,Roles[ASSSIGNED ROLE],Roles[Points],"")</f>
        <v>1.1594202898550725</v>
      </c>
      <c r="H80" s="4">
        <f>_xlfn.XLOOKUP(G80,Roles[ASSSIGNED ROLE],Roles[Points],"")</f>
        <v>0</v>
      </c>
      <c r="J80" s="4">
        <f>_xlfn.XLOOKUP(I80,Roles[ASSSIGNED ROLE],Roles[Points],"")</f>
        <v>0</v>
      </c>
      <c r="L80" s="4">
        <f>_xlfn.XLOOKUP(K80,Roles[ASSSIGNED ROLE],Roles[Points],"")</f>
        <v>0</v>
      </c>
      <c r="N80" s="4">
        <f>_xlfn.XLOOKUP(M80,Roles[ASSSIGNED ROLE],Roles[Points],"")</f>
        <v>0</v>
      </c>
      <c r="P80" s="4">
        <f>_xlfn.XLOOKUP(O80,Roles[ASSSIGNED ROLE],Roles[Points],"")</f>
        <v>0</v>
      </c>
    </row>
    <row r="81" spans="1:16" x14ac:dyDescent="0.25">
      <c r="A81" s="52"/>
      <c r="B81" s="4">
        <f>_xlfn.XLOOKUP(A81,'Source Information - Staff'!C:C,'Source Information - Staff'!F:F,"")</f>
        <v>0</v>
      </c>
      <c r="C81" s="115">
        <f t="shared" si="2"/>
        <v>0</v>
      </c>
      <c r="D81" s="14">
        <f t="shared" si="3"/>
        <v>1.6666666666666667</v>
      </c>
      <c r="E81" s="109" t="s">
        <v>247</v>
      </c>
      <c r="F81" s="4">
        <f>_xlfn.XLOOKUP(E81,Roles[ASSSIGNED ROLE],Roles[Points],"")</f>
        <v>1.6666666666666667</v>
      </c>
      <c r="H81" s="4">
        <f>_xlfn.XLOOKUP(G81,Roles[ASSSIGNED ROLE],Roles[Points],"")</f>
        <v>0</v>
      </c>
      <c r="J81" s="4">
        <f>_xlfn.XLOOKUP(I81,Roles[ASSSIGNED ROLE],Roles[Points],"")</f>
        <v>0</v>
      </c>
      <c r="L81" s="4">
        <f>_xlfn.XLOOKUP(K81,Roles[ASSSIGNED ROLE],Roles[Points],"")</f>
        <v>0</v>
      </c>
      <c r="N81" s="4">
        <f>_xlfn.XLOOKUP(M81,Roles[ASSSIGNED ROLE],Roles[Points],"")</f>
        <v>0</v>
      </c>
      <c r="P81" s="4">
        <f>_xlfn.XLOOKUP(O81,Roles[ASSSIGNED ROLE],Roles[Points],"")</f>
        <v>0</v>
      </c>
    </row>
    <row r="82" spans="1:16" x14ac:dyDescent="0.25">
      <c r="A82" s="52"/>
      <c r="B82" s="4">
        <f>_xlfn.XLOOKUP(A82,'Source Information - Staff'!C:C,'Source Information - Staff'!F:F,"")</f>
        <v>0</v>
      </c>
      <c r="C82" s="115">
        <f t="shared" si="2"/>
        <v>0</v>
      </c>
      <c r="D82" s="14">
        <f t="shared" si="3"/>
        <v>4.9855072463768115</v>
      </c>
      <c r="E82" s="109" t="s">
        <v>286</v>
      </c>
      <c r="F82" s="4">
        <f>_xlfn.XLOOKUP(E82,Roles[ASSSIGNED ROLE],Roles[Points],"")</f>
        <v>4.9855072463768115</v>
      </c>
      <c r="H82" s="4">
        <f>_xlfn.XLOOKUP(G82,Roles[ASSSIGNED ROLE],Roles[Points],"")</f>
        <v>0</v>
      </c>
      <c r="J82" s="4">
        <f>_xlfn.XLOOKUP(I82,Roles[ASSSIGNED ROLE],Roles[Points],"")</f>
        <v>0</v>
      </c>
      <c r="L82" s="4">
        <f>_xlfn.XLOOKUP(K82,Roles[ASSSIGNED ROLE],Roles[Points],"")</f>
        <v>0</v>
      </c>
      <c r="N82" s="4">
        <f>_xlfn.XLOOKUP(M82,Roles[ASSSIGNED ROLE],Roles[Points],"")</f>
        <v>0</v>
      </c>
      <c r="P82" s="4">
        <f>_xlfn.XLOOKUP(O82,Roles[ASSSIGNED ROLE],Roles[Points],"")</f>
        <v>0</v>
      </c>
    </row>
    <row r="83" spans="1:16" x14ac:dyDescent="0.25">
      <c r="A83" s="52"/>
      <c r="B83" s="4">
        <f>_xlfn.XLOOKUP(A83,'Source Information - Staff'!C:C,'Source Information - Staff'!F:F,"")</f>
        <v>0</v>
      </c>
      <c r="C83" s="115">
        <f t="shared" si="2"/>
        <v>0</v>
      </c>
      <c r="D83" s="14">
        <f t="shared" si="3"/>
        <v>2</v>
      </c>
      <c r="E83" s="109" t="s">
        <v>287</v>
      </c>
      <c r="F83" s="4">
        <f>_xlfn.XLOOKUP(E83,Roles[ASSSIGNED ROLE],Roles[Points],"")</f>
        <v>2</v>
      </c>
      <c r="H83" s="4">
        <f>_xlfn.XLOOKUP(G83,Roles[ASSSIGNED ROLE],Roles[Points],"")</f>
        <v>0</v>
      </c>
      <c r="J83" s="4">
        <f>_xlfn.XLOOKUP(I83,Roles[ASSSIGNED ROLE],Roles[Points],"")</f>
        <v>0</v>
      </c>
      <c r="L83" s="4">
        <f>_xlfn.XLOOKUP(K83,Roles[ASSSIGNED ROLE],Roles[Points],"")</f>
        <v>0</v>
      </c>
      <c r="N83" s="4">
        <f>_xlfn.XLOOKUP(M83,Roles[ASSSIGNED ROLE],Roles[Points],"")</f>
        <v>0</v>
      </c>
      <c r="P83" s="4">
        <f>_xlfn.XLOOKUP(O83,Roles[ASSSIGNED ROLE],Roles[Points],"")</f>
        <v>0</v>
      </c>
    </row>
    <row r="84" spans="1:16" x14ac:dyDescent="0.25">
      <c r="A84" s="52"/>
      <c r="B84" s="4">
        <f>_xlfn.XLOOKUP(A84,'Source Information - Staff'!C:C,'Source Information - Staff'!F:F,"")</f>
        <v>0</v>
      </c>
      <c r="C84" s="115">
        <f t="shared" si="2"/>
        <v>0</v>
      </c>
      <c r="D84" s="14">
        <f t="shared" si="3"/>
        <v>0</v>
      </c>
      <c r="E84" s="109"/>
      <c r="F84" s="4">
        <f>_xlfn.XLOOKUP(E84,Roles[ASSSIGNED ROLE],Roles[Points],"")</f>
        <v>0</v>
      </c>
      <c r="H84" s="4">
        <f>_xlfn.XLOOKUP(G84,Roles[ASSSIGNED ROLE],Roles[Points],"")</f>
        <v>0</v>
      </c>
      <c r="J84" s="4">
        <f>_xlfn.XLOOKUP(I84,Roles[ASSSIGNED ROLE],Roles[Points],"")</f>
        <v>0</v>
      </c>
      <c r="L84" s="4">
        <f>_xlfn.XLOOKUP(K84,Roles[ASSSIGNED ROLE],Roles[Points],"")</f>
        <v>0</v>
      </c>
      <c r="N84" s="4">
        <f>_xlfn.XLOOKUP(M84,Roles[ASSSIGNED ROLE],Roles[Points],"")</f>
        <v>0</v>
      </c>
      <c r="P84" s="4">
        <f>_xlfn.XLOOKUP(O84,Roles[ASSSIGNED ROLE],Roles[Points],"")</f>
        <v>0</v>
      </c>
    </row>
    <row r="85" spans="1:16" ht="14.25" customHeight="1" x14ac:dyDescent="0.25">
      <c r="A85" s="52"/>
      <c r="B85" s="4">
        <f>_xlfn.XLOOKUP(A85,'Source Information - Staff'!C:C,'Source Information - Staff'!F:F,"")</f>
        <v>0</v>
      </c>
      <c r="C85" s="115">
        <f t="shared" si="2"/>
        <v>0</v>
      </c>
      <c r="D85" s="14">
        <f t="shared" si="3"/>
        <v>0</v>
      </c>
      <c r="E85" s="109"/>
      <c r="F85" s="4">
        <f>_xlfn.XLOOKUP(E85,Roles[ASSSIGNED ROLE],Roles[Points],"")</f>
        <v>0</v>
      </c>
      <c r="H85" s="4">
        <f>_xlfn.XLOOKUP(G85,Roles[ASSSIGNED ROLE],Roles[Points],"")</f>
        <v>0</v>
      </c>
      <c r="J85" s="4">
        <f>_xlfn.XLOOKUP(I85,Roles[ASSSIGNED ROLE],Roles[Points],"")</f>
        <v>0</v>
      </c>
      <c r="L85" s="4">
        <f>_xlfn.XLOOKUP(K85,Roles[ASSSIGNED ROLE],Roles[Points],"")</f>
        <v>0</v>
      </c>
      <c r="N85" s="4">
        <f>_xlfn.XLOOKUP(M85,Roles[ASSSIGNED ROLE],Roles[Points],"")</f>
        <v>0</v>
      </c>
      <c r="P85" s="4">
        <f>_xlfn.XLOOKUP(O85,Roles[ASSSIGNED ROLE],Roles[Points],"")</f>
        <v>0</v>
      </c>
    </row>
    <row r="86" spans="1:16" x14ac:dyDescent="0.25">
      <c r="A86" s="52"/>
      <c r="B86" s="4">
        <f>_xlfn.XLOOKUP(A86,'Source Information - Staff'!C:C,'Source Information - Staff'!F:F,"")</f>
        <v>0</v>
      </c>
      <c r="C86" s="115">
        <f t="shared" si="2"/>
        <v>0</v>
      </c>
      <c r="D86" s="14">
        <f t="shared" si="3"/>
        <v>0</v>
      </c>
      <c r="E86" s="109"/>
      <c r="F86" s="4">
        <f>_xlfn.XLOOKUP(E86,Roles[ASSSIGNED ROLE],Roles[Points],"")</f>
        <v>0</v>
      </c>
      <c r="H86" s="4">
        <f>_xlfn.XLOOKUP(G86,Roles[ASSSIGNED ROLE],Roles[Points],"")</f>
        <v>0</v>
      </c>
      <c r="J86" s="4">
        <f>_xlfn.XLOOKUP(I86,Roles[ASSSIGNED ROLE],Roles[Points],"")</f>
        <v>0</v>
      </c>
      <c r="L86" s="4">
        <f>_xlfn.XLOOKUP(K86,Roles[ASSSIGNED ROLE],Roles[Points],"")</f>
        <v>0</v>
      </c>
      <c r="N86" s="4">
        <f>_xlfn.XLOOKUP(M86,Roles[ASSSIGNED ROLE],Roles[Points],"")</f>
        <v>0</v>
      </c>
      <c r="P86" s="4">
        <f>_xlfn.XLOOKUP(O86,Roles[ASSSIGNED ROLE],Roles[Points],"")</f>
        <v>0</v>
      </c>
    </row>
    <row r="87" spans="1:16" x14ac:dyDescent="0.25">
      <c r="A87" s="52"/>
      <c r="B87" s="4">
        <f>_xlfn.XLOOKUP(A87,'Source Information - Staff'!C:C,'Source Information - Staff'!F:F,"")</f>
        <v>0</v>
      </c>
      <c r="C87" s="115">
        <f t="shared" si="2"/>
        <v>0</v>
      </c>
      <c r="D87" s="14">
        <f t="shared" si="3"/>
        <v>0</v>
      </c>
      <c r="E87" s="109"/>
      <c r="F87" s="4">
        <f>_xlfn.XLOOKUP(E87,Roles[ASSSIGNED ROLE],Roles[Points],"")</f>
        <v>0</v>
      </c>
      <c r="H87" s="4">
        <f>_xlfn.XLOOKUP(G87,Roles[ASSSIGNED ROLE],Roles[Points],"")</f>
        <v>0</v>
      </c>
      <c r="J87" s="4">
        <f>_xlfn.XLOOKUP(I87,Roles[ASSSIGNED ROLE],Roles[Points],"")</f>
        <v>0</v>
      </c>
      <c r="L87" s="4">
        <f>_xlfn.XLOOKUP(K87,Roles[ASSSIGNED ROLE],Roles[Points],"")</f>
        <v>0</v>
      </c>
      <c r="N87" s="4">
        <f>_xlfn.XLOOKUP(M87,Roles[ASSSIGNED ROLE],Roles[Points],"")</f>
        <v>0</v>
      </c>
      <c r="P87" s="4">
        <f>_xlfn.XLOOKUP(O87,Roles[ASSSIGNED ROLE],Roles[Points],"")</f>
        <v>0</v>
      </c>
    </row>
    <row r="88" spans="1:16" x14ac:dyDescent="0.25">
      <c r="A88" s="52"/>
      <c r="B88" s="4">
        <f>_xlfn.XLOOKUP(A88,'Source Information - Staff'!C:C,'Source Information - Staff'!F:F,"")</f>
        <v>0</v>
      </c>
      <c r="C88" s="115">
        <f t="shared" si="2"/>
        <v>0</v>
      </c>
      <c r="D88" s="14">
        <f t="shared" si="3"/>
        <v>0</v>
      </c>
      <c r="E88" s="109"/>
      <c r="F88" s="4">
        <f>_xlfn.XLOOKUP(E88,Roles[ASSSIGNED ROLE],Roles[Points],"")</f>
        <v>0</v>
      </c>
      <c r="H88" s="4">
        <f>_xlfn.XLOOKUP(G88,Roles[ASSSIGNED ROLE],Roles[Points],"")</f>
        <v>0</v>
      </c>
      <c r="J88" s="4">
        <f>_xlfn.XLOOKUP(I88,Roles[ASSSIGNED ROLE],Roles[Points],"")</f>
        <v>0</v>
      </c>
      <c r="L88" s="4">
        <f>_xlfn.XLOOKUP(K88,Roles[ASSSIGNED ROLE],Roles[Points],"")</f>
        <v>0</v>
      </c>
      <c r="N88" s="4">
        <f>_xlfn.XLOOKUP(M88,Roles[ASSSIGNED ROLE],Roles[Points],"")</f>
        <v>0</v>
      </c>
      <c r="P88" s="4">
        <f>_xlfn.XLOOKUP(O88,Roles[ASSSIGNED ROLE],Roles[Points],"")</f>
        <v>0</v>
      </c>
    </row>
    <row r="89" spans="1:16" x14ac:dyDescent="0.25">
      <c r="A89" s="52"/>
      <c r="B89" s="4">
        <f>_xlfn.XLOOKUP(A89,'Source Information - Staff'!C:C,'Source Information - Staff'!F:F,"")</f>
        <v>0</v>
      </c>
      <c r="C89" s="115">
        <f t="shared" si="2"/>
        <v>0</v>
      </c>
      <c r="D89" s="14">
        <f t="shared" si="3"/>
        <v>15.014492753623188</v>
      </c>
      <c r="E89" s="109" t="s">
        <v>245</v>
      </c>
      <c r="F89" s="4">
        <f>_xlfn.XLOOKUP(E89,Roles[ASSSIGNED ROLE],Roles[Points],"")</f>
        <v>10.028985507246377</v>
      </c>
      <c r="G89" s="105" t="s">
        <v>270</v>
      </c>
      <c r="H89" s="4">
        <f>_xlfn.XLOOKUP(G89,Roles[ASSSIGNED ROLE],Roles[Points],"")</f>
        <v>4.9855072463768115</v>
      </c>
      <c r="J89" s="4">
        <f>_xlfn.XLOOKUP(I89,Roles[ASSSIGNED ROLE],Roles[Points],"")</f>
        <v>0</v>
      </c>
      <c r="L89" s="4">
        <f>_xlfn.XLOOKUP(K89,Roles[ASSSIGNED ROLE],Roles[Points],"")</f>
        <v>0</v>
      </c>
      <c r="N89" s="4">
        <f>_xlfn.XLOOKUP(M89,Roles[ASSSIGNED ROLE],Roles[Points],"")</f>
        <v>0</v>
      </c>
      <c r="P89" s="4">
        <f>_xlfn.XLOOKUP(O89,Roles[ASSSIGNED ROLE],Roles[Points],"")</f>
        <v>0</v>
      </c>
    </row>
    <row r="90" spans="1:16" x14ac:dyDescent="0.25">
      <c r="A90" s="52"/>
      <c r="B90" s="4">
        <f>_xlfn.XLOOKUP(A90,'Source Information - Staff'!C:C,'Source Information - Staff'!F:F,"")</f>
        <v>0</v>
      </c>
      <c r="C90" s="115">
        <f t="shared" si="2"/>
        <v>0</v>
      </c>
      <c r="D90" s="14">
        <f t="shared" si="3"/>
        <v>10</v>
      </c>
      <c r="E90" s="109" t="s">
        <v>288</v>
      </c>
      <c r="F90" s="4">
        <f>_xlfn.XLOOKUP(E90,Roles[ASSSIGNED ROLE],Roles[Points],"")</f>
        <v>10</v>
      </c>
      <c r="H90" s="4">
        <f>_xlfn.XLOOKUP(G90,Roles[ASSSIGNED ROLE],Roles[Points],"")</f>
        <v>0</v>
      </c>
      <c r="J90" s="4">
        <f>_xlfn.XLOOKUP(I90,Roles[ASSSIGNED ROLE],Roles[Points],"")</f>
        <v>0</v>
      </c>
      <c r="L90" s="4">
        <f>_xlfn.XLOOKUP(K90,Roles[ASSSIGNED ROLE],Roles[Points],"")</f>
        <v>0</v>
      </c>
      <c r="N90" s="4">
        <f>_xlfn.XLOOKUP(M90,Roles[ASSSIGNED ROLE],Roles[Points],"")</f>
        <v>0</v>
      </c>
      <c r="P90" s="4">
        <f>_xlfn.XLOOKUP(O90,Roles[ASSSIGNED ROLE],Roles[Points],"")</f>
        <v>0</v>
      </c>
    </row>
    <row r="91" spans="1:16" x14ac:dyDescent="0.25">
      <c r="A91" s="52"/>
      <c r="B91" s="4">
        <f>_xlfn.XLOOKUP(A91,'Source Information - Staff'!C:C,'Source Information - Staff'!F:F,"")</f>
        <v>0</v>
      </c>
      <c r="C91" s="115">
        <f t="shared" si="2"/>
        <v>0</v>
      </c>
      <c r="D91" s="14">
        <f t="shared" si="3"/>
        <v>0</v>
      </c>
      <c r="E91" s="109"/>
      <c r="F91" s="4">
        <f>_xlfn.XLOOKUP(E91,Roles[ASSSIGNED ROLE],Roles[Points],"")</f>
        <v>0</v>
      </c>
      <c r="H91" s="4">
        <f>_xlfn.XLOOKUP(G91,Roles[ASSSIGNED ROLE],Roles[Points],"")</f>
        <v>0</v>
      </c>
      <c r="J91" s="4">
        <f>_xlfn.XLOOKUP(I91,Roles[ASSSIGNED ROLE],Roles[Points],"")</f>
        <v>0</v>
      </c>
      <c r="L91" s="4">
        <f>_xlfn.XLOOKUP(K91,Roles[ASSSIGNED ROLE],Roles[Points],"")</f>
        <v>0</v>
      </c>
      <c r="N91" s="4">
        <f>_xlfn.XLOOKUP(M91,Roles[ASSSIGNED ROLE],Roles[Points],"")</f>
        <v>0</v>
      </c>
      <c r="P91" s="4">
        <f>_xlfn.XLOOKUP(O91,Roles[ASSSIGNED ROLE],Roles[Points],"")</f>
        <v>0</v>
      </c>
    </row>
    <row r="92" spans="1:16" x14ac:dyDescent="0.25">
      <c r="A92" s="52"/>
      <c r="B92" s="4">
        <f>_xlfn.XLOOKUP(A92,'Source Information - Staff'!C:C,'Source Information - Staff'!F:F,"")</f>
        <v>0</v>
      </c>
      <c r="C92" s="115">
        <f t="shared" si="2"/>
        <v>0</v>
      </c>
      <c r="D92" s="14">
        <f t="shared" si="3"/>
        <v>0</v>
      </c>
      <c r="E92" s="109"/>
      <c r="F92" s="4">
        <f>_xlfn.XLOOKUP(E92,Roles[ASSSIGNED ROLE],Roles[Points],"")</f>
        <v>0</v>
      </c>
      <c r="H92" s="4">
        <f>_xlfn.XLOOKUP(G92,Roles[ASSSIGNED ROLE],Roles[Points],"")</f>
        <v>0</v>
      </c>
      <c r="J92" s="4">
        <f>_xlfn.XLOOKUP(I92,Roles[ASSSIGNED ROLE],Roles[Points],"")</f>
        <v>0</v>
      </c>
      <c r="L92" s="4">
        <f>_xlfn.XLOOKUP(K92,Roles[ASSSIGNED ROLE],Roles[Points],"")</f>
        <v>0</v>
      </c>
      <c r="N92" s="4">
        <f>_xlfn.XLOOKUP(M92,Roles[ASSSIGNED ROLE],Roles[Points],"")</f>
        <v>0</v>
      </c>
      <c r="P92" s="4">
        <f>_xlfn.XLOOKUP(O92,Roles[ASSSIGNED ROLE],Roles[Points],"")</f>
        <v>0</v>
      </c>
    </row>
    <row r="93" spans="1:16" x14ac:dyDescent="0.25">
      <c r="A93" s="52"/>
      <c r="B93" s="4">
        <f>_xlfn.XLOOKUP(A93,'Source Information - Staff'!C:C,'Source Information - Staff'!F:F,"")</f>
        <v>0</v>
      </c>
      <c r="C93" s="115">
        <f t="shared" si="2"/>
        <v>0</v>
      </c>
      <c r="D93" s="14">
        <f t="shared" si="3"/>
        <v>10</v>
      </c>
      <c r="E93" s="109" t="s">
        <v>289</v>
      </c>
      <c r="F93" s="4">
        <f>_xlfn.XLOOKUP(E93,Roles[ASSSIGNED ROLE],Roles[Points],"")</f>
        <v>10</v>
      </c>
      <c r="H93" s="4">
        <f>_xlfn.XLOOKUP(G93,Roles[ASSSIGNED ROLE],Roles[Points],"")</f>
        <v>0</v>
      </c>
      <c r="J93" s="4">
        <f>_xlfn.XLOOKUP(I93,Roles[ASSSIGNED ROLE],Roles[Points],"")</f>
        <v>0</v>
      </c>
      <c r="L93" s="4">
        <f>_xlfn.XLOOKUP(K93,Roles[ASSSIGNED ROLE],Roles[Points],"")</f>
        <v>0</v>
      </c>
      <c r="N93" s="4">
        <f>_xlfn.XLOOKUP(M93,Roles[ASSSIGNED ROLE],Roles[Points],"")</f>
        <v>0</v>
      </c>
      <c r="P93" s="4">
        <f>_xlfn.XLOOKUP(O93,Roles[ASSSIGNED ROLE],Roles[Points],"")</f>
        <v>0</v>
      </c>
    </row>
    <row r="94" spans="1:16" x14ac:dyDescent="0.25">
      <c r="A94" s="52"/>
      <c r="B94" s="4">
        <f>_xlfn.XLOOKUP(A94,'Source Information - Staff'!C:C,'Source Information - Staff'!F:F,"")</f>
        <v>0</v>
      </c>
      <c r="C94" s="115">
        <f t="shared" si="2"/>
        <v>0</v>
      </c>
      <c r="D94" s="14">
        <f t="shared" si="3"/>
        <v>50.028985507246375</v>
      </c>
      <c r="E94" s="109" t="s">
        <v>290</v>
      </c>
      <c r="F94" s="4">
        <f>_xlfn.XLOOKUP(E94,Roles[ASSSIGNED ROLE],Roles[Points],"")</f>
        <v>40</v>
      </c>
      <c r="G94" s="105" t="s">
        <v>272</v>
      </c>
      <c r="H94" s="4">
        <f>_xlfn.XLOOKUP(G94,Roles[ASSSIGNED ROLE],Roles[Points],"")</f>
        <v>10.028985507246377</v>
      </c>
      <c r="J94" s="4">
        <f>_xlfn.XLOOKUP(I94,Roles[ASSSIGNED ROLE],Roles[Points],"")</f>
        <v>0</v>
      </c>
      <c r="L94" s="4">
        <f>_xlfn.XLOOKUP(K94,Roles[ASSSIGNED ROLE],Roles[Points],"")</f>
        <v>0</v>
      </c>
      <c r="N94" s="4">
        <f>_xlfn.XLOOKUP(M94,Roles[ASSSIGNED ROLE],Roles[Points],"")</f>
        <v>0</v>
      </c>
      <c r="P94" s="4">
        <f>_xlfn.XLOOKUP(O94,Roles[ASSSIGNED ROLE],Roles[Points],"")</f>
        <v>0</v>
      </c>
    </row>
    <row r="95" spans="1:16" x14ac:dyDescent="0.25">
      <c r="A95" s="52"/>
      <c r="B95" s="4">
        <f>_xlfn.XLOOKUP(A95,'Source Information - Staff'!C:C,'Source Information - Staff'!F:F,"")</f>
        <v>0</v>
      </c>
      <c r="C95" s="115">
        <f t="shared" si="2"/>
        <v>0</v>
      </c>
      <c r="D95" s="14">
        <f t="shared" si="3"/>
        <v>4.9855072463768115</v>
      </c>
      <c r="E95" s="109" t="s">
        <v>291</v>
      </c>
      <c r="F95" s="4">
        <f>_xlfn.XLOOKUP(E95,Roles[ASSSIGNED ROLE],Roles[Points],"")</f>
        <v>4.9855072463768115</v>
      </c>
      <c r="H95" s="4">
        <f>_xlfn.XLOOKUP(G95,Roles[ASSSIGNED ROLE],Roles[Points],"")</f>
        <v>0</v>
      </c>
      <c r="J95" s="4">
        <f>_xlfn.XLOOKUP(I95,Roles[ASSSIGNED ROLE],Roles[Points],"")</f>
        <v>0</v>
      </c>
      <c r="L95" s="4">
        <f>_xlfn.XLOOKUP(K95,Roles[ASSSIGNED ROLE],Roles[Points],"")</f>
        <v>0</v>
      </c>
      <c r="N95" s="4">
        <f>_xlfn.XLOOKUP(M95,Roles[ASSSIGNED ROLE],Roles[Points],"")</f>
        <v>0</v>
      </c>
      <c r="P95" s="4">
        <f>_xlfn.XLOOKUP(O95,Roles[ASSSIGNED ROLE],Roles[Points],"")</f>
        <v>0</v>
      </c>
    </row>
    <row r="96" spans="1:16" x14ac:dyDescent="0.25">
      <c r="A96" s="52"/>
      <c r="B96" s="4">
        <f>_xlfn.XLOOKUP(A96,'Source Information - Staff'!C:C,'Source Information - Staff'!F:F,"")</f>
        <v>0</v>
      </c>
      <c r="C96" s="115">
        <f t="shared" si="2"/>
        <v>0</v>
      </c>
      <c r="D96" s="14">
        <f t="shared" si="3"/>
        <v>0</v>
      </c>
      <c r="E96" s="109"/>
      <c r="F96" s="4">
        <f>_xlfn.XLOOKUP(E96,Roles[ASSSIGNED ROLE],Roles[Points],"")</f>
        <v>0</v>
      </c>
      <c r="H96" s="4">
        <f>_xlfn.XLOOKUP(G96,Roles[ASSSIGNED ROLE],Roles[Points],"")</f>
        <v>0</v>
      </c>
      <c r="J96" s="4">
        <f>_xlfn.XLOOKUP(I96,Roles[ASSSIGNED ROLE],Roles[Points],"")</f>
        <v>0</v>
      </c>
      <c r="L96" s="4">
        <f>_xlfn.XLOOKUP(K96,Roles[ASSSIGNED ROLE],Roles[Points],"")</f>
        <v>0</v>
      </c>
      <c r="N96" s="4">
        <f>_xlfn.XLOOKUP(M96,Roles[ASSSIGNED ROLE],Roles[Points],"")</f>
        <v>0</v>
      </c>
      <c r="P96" s="4">
        <f>_xlfn.XLOOKUP(O96,Roles[ASSSIGNED ROLE],Roles[Points],"")</f>
        <v>0</v>
      </c>
    </row>
    <row r="97" spans="1:16" x14ac:dyDescent="0.25">
      <c r="A97" s="52"/>
      <c r="B97" s="4">
        <f>_xlfn.XLOOKUP(A97,'Source Information - Staff'!C:C,'Source Information - Staff'!F:F,"")</f>
        <v>0</v>
      </c>
      <c r="C97" s="115">
        <f t="shared" si="2"/>
        <v>0</v>
      </c>
      <c r="D97" s="14">
        <f t="shared" si="3"/>
        <v>0</v>
      </c>
      <c r="E97" s="109"/>
      <c r="F97" s="4">
        <f>_xlfn.XLOOKUP(E97,Roles[ASSSIGNED ROLE],Roles[Points],"")</f>
        <v>0</v>
      </c>
      <c r="H97" s="4">
        <f>_xlfn.XLOOKUP(G97,Roles[ASSSIGNED ROLE],Roles[Points],"")</f>
        <v>0</v>
      </c>
      <c r="J97" s="4">
        <f>_xlfn.XLOOKUP(I97,Roles[ASSSIGNED ROLE],Roles[Points],"")</f>
        <v>0</v>
      </c>
      <c r="L97" s="4">
        <f>_xlfn.XLOOKUP(K97,Roles[ASSSIGNED ROLE],Roles[Points],"")</f>
        <v>0</v>
      </c>
      <c r="N97" s="4">
        <f>_xlfn.XLOOKUP(M97,Roles[ASSSIGNED ROLE],Roles[Points],"")</f>
        <v>0</v>
      </c>
      <c r="P97" s="4">
        <f>_xlfn.XLOOKUP(O97,Roles[ASSSIGNED ROLE],Roles[Points],"")</f>
        <v>0</v>
      </c>
    </row>
    <row r="98" spans="1:16" x14ac:dyDescent="0.25">
      <c r="A98" s="52"/>
      <c r="B98" s="4">
        <f>_xlfn.XLOOKUP(A98,'Source Information - Staff'!C:C,'Source Information - Staff'!F:F,"")</f>
        <v>0</v>
      </c>
      <c r="C98" s="115">
        <f t="shared" si="2"/>
        <v>0</v>
      </c>
      <c r="D98" s="14">
        <f t="shared" si="3"/>
        <v>0</v>
      </c>
      <c r="E98" s="109"/>
      <c r="F98" s="4">
        <f>_xlfn.XLOOKUP(E98,Roles[ASSSIGNED ROLE],Roles[Points],"")</f>
        <v>0</v>
      </c>
      <c r="H98" s="4">
        <f>_xlfn.XLOOKUP(G98,Roles[ASSSIGNED ROLE],Roles[Points],"")</f>
        <v>0</v>
      </c>
      <c r="J98" s="4">
        <f>_xlfn.XLOOKUP(I98,Roles[ASSSIGNED ROLE],Roles[Points],"")</f>
        <v>0</v>
      </c>
      <c r="L98" s="4">
        <f>_xlfn.XLOOKUP(K98,Roles[ASSSIGNED ROLE],Roles[Points],"")</f>
        <v>0</v>
      </c>
      <c r="N98" s="4">
        <f>_xlfn.XLOOKUP(M98,Roles[ASSSIGNED ROLE],Roles[Points],"")</f>
        <v>0</v>
      </c>
      <c r="P98" s="4">
        <f>_xlfn.XLOOKUP(O98,Roles[ASSSIGNED ROLE],Roles[Points],"")</f>
        <v>0</v>
      </c>
    </row>
    <row r="99" spans="1:16" x14ac:dyDescent="0.25">
      <c r="A99" s="52"/>
      <c r="B99" s="4">
        <f>_xlfn.XLOOKUP(A99,'Source Information - Staff'!C:C,'Source Information - Staff'!F:F,"")</f>
        <v>0</v>
      </c>
      <c r="C99" s="115">
        <f t="shared" si="2"/>
        <v>0</v>
      </c>
      <c r="D99" s="14">
        <f t="shared" si="3"/>
        <v>3.4782608695652173</v>
      </c>
      <c r="E99" s="109" t="s">
        <v>282</v>
      </c>
      <c r="F99" s="4">
        <f>_xlfn.XLOOKUP(E99,Roles[ASSSIGNED ROLE],Roles[Points],"")</f>
        <v>3.4782608695652173</v>
      </c>
      <c r="H99" s="4">
        <f>_xlfn.XLOOKUP(G99,Roles[ASSSIGNED ROLE],Roles[Points],"")</f>
        <v>0</v>
      </c>
      <c r="J99" s="4">
        <f>_xlfn.XLOOKUP(I99,Roles[ASSSIGNED ROLE],Roles[Points],"")</f>
        <v>0</v>
      </c>
      <c r="L99" s="4">
        <f>_xlfn.XLOOKUP(K99,Roles[ASSSIGNED ROLE],Roles[Points],"")</f>
        <v>0</v>
      </c>
      <c r="N99" s="4">
        <f>_xlfn.XLOOKUP(M99,Roles[ASSSIGNED ROLE],Roles[Points],"")</f>
        <v>0</v>
      </c>
      <c r="P99" s="4">
        <f>_xlfn.XLOOKUP(O99,Roles[ASSSIGNED ROLE],Roles[Points],"")</f>
        <v>0</v>
      </c>
    </row>
    <row r="100" spans="1:16" x14ac:dyDescent="0.25">
      <c r="A100" s="52"/>
      <c r="B100" s="4">
        <f>_xlfn.XLOOKUP(A100,'Source Information - Staff'!C:C,'Source Information - Staff'!F:F,"")</f>
        <v>0</v>
      </c>
      <c r="C100" s="115">
        <f t="shared" si="2"/>
        <v>0</v>
      </c>
      <c r="D100" s="14">
        <f t="shared" si="3"/>
        <v>0</v>
      </c>
      <c r="E100" s="109"/>
      <c r="F100" s="4">
        <f>_xlfn.XLOOKUP(E100,Roles[ASSSIGNED ROLE],Roles[Points],"")</f>
        <v>0</v>
      </c>
      <c r="H100" s="4">
        <f>_xlfn.XLOOKUP(G100,Roles[ASSSIGNED ROLE],Roles[Points],"")</f>
        <v>0</v>
      </c>
      <c r="J100" s="4">
        <f>_xlfn.XLOOKUP(I100,Roles[ASSSIGNED ROLE],Roles[Points],"")</f>
        <v>0</v>
      </c>
      <c r="L100" s="4">
        <f>_xlfn.XLOOKUP(K100,Roles[ASSSIGNED ROLE],Roles[Points],"")</f>
        <v>0</v>
      </c>
      <c r="N100" s="4">
        <f>_xlfn.XLOOKUP(M100,Roles[ASSSIGNED ROLE],Roles[Points],"")</f>
        <v>0</v>
      </c>
      <c r="P100" s="4">
        <f>_xlfn.XLOOKUP(O100,Roles[ASSSIGNED ROLE],Roles[Points],"")</f>
        <v>0</v>
      </c>
    </row>
    <row r="101" spans="1:16" x14ac:dyDescent="0.25">
      <c r="A101" s="52"/>
      <c r="B101" s="4">
        <f>_xlfn.XLOOKUP(A101,'Source Information - Staff'!C:C,'Source Information - Staff'!F:F,"")</f>
        <v>0</v>
      </c>
      <c r="C101" s="115">
        <f t="shared" si="2"/>
        <v>0</v>
      </c>
      <c r="D101" s="14">
        <f t="shared" si="3"/>
        <v>0</v>
      </c>
      <c r="E101" s="109"/>
      <c r="F101" s="4">
        <f>_xlfn.XLOOKUP(E101,Roles[ASSSIGNED ROLE],Roles[Points],"")</f>
        <v>0</v>
      </c>
      <c r="H101" s="4">
        <f>_xlfn.XLOOKUP(G101,Roles[ASSSIGNED ROLE],Roles[Points],"")</f>
        <v>0</v>
      </c>
      <c r="J101" s="4">
        <f>_xlfn.XLOOKUP(I101,Roles[ASSSIGNED ROLE],Roles[Points],"")</f>
        <v>0</v>
      </c>
      <c r="L101" s="4">
        <f>_xlfn.XLOOKUP(K101,Roles[ASSSIGNED ROLE],Roles[Points],"")</f>
        <v>0</v>
      </c>
      <c r="N101" s="4">
        <f>_xlfn.XLOOKUP(M101,Roles[ASSSIGNED ROLE],Roles[Points],"")</f>
        <v>0</v>
      </c>
      <c r="P101" s="4">
        <f>_xlfn.XLOOKUP(O101,Roles[ASSSIGNED ROLE],Roles[Points],"")</f>
        <v>0</v>
      </c>
    </row>
    <row r="102" spans="1:16" s="31" customFormat="1" ht="15.75" thickBot="1" x14ac:dyDescent="0.3">
      <c r="A102" s="54"/>
      <c r="B102" s="4">
        <f>_xlfn.XLOOKUP(A102,'Source Information - Staff'!C:C,'Source Information - Staff'!F:F,"")</f>
        <v>0</v>
      </c>
      <c r="C102" s="116">
        <f t="shared" si="2"/>
        <v>0</v>
      </c>
      <c r="D102" s="34">
        <f t="shared" si="3"/>
        <v>16.057971014492754</v>
      </c>
      <c r="E102" s="110" t="s">
        <v>292</v>
      </c>
      <c r="F102" s="4">
        <f>_xlfn.XLOOKUP(E102,Roles[ASSSIGNED ROLE],Roles[Points],"")</f>
        <v>6.0289855072463769</v>
      </c>
      <c r="G102" s="106" t="s">
        <v>245</v>
      </c>
      <c r="H102" s="38">
        <f>_xlfn.XLOOKUP(G102,Roles[ASSSIGNED ROLE],Roles[Points],"")</f>
        <v>10.028985507246377</v>
      </c>
      <c r="I102" s="106"/>
      <c r="J102" s="38">
        <f>_xlfn.XLOOKUP(I102,Roles[ASSSIGNED ROLE],Roles[Points],"")</f>
        <v>0</v>
      </c>
      <c r="K102" s="106"/>
      <c r="L102" s="38">
        <f>_xlfn.XLOOKUP(K102,Roles[ASSSIGNED ROLE],Roles[Points],"")</f>
        <v>0</v>
      </c>
      <c r="M102" s="106"/>
      <c r="N102" s="38">
        <f>_xlfn.XLOOKUP(M102,Roles[ASSSIGNED ROLE],Roles[Points],"")</f>
        <v>0</v>
      </c>
      <c r="O102" s="106"/>
      <c r="P102" s="38">
        <f>_xlfn.XLOOKUP(O102,Roles[ASSSIGNED ROLE],Roles[Points],"")</f>
        <v>0</v>
      </c>
    </row>
    <row r="103" spans="1:16" ht="15.75" thickBot="1" x14ac:dyDescent="0.3">
      <c r="B103" s="4">
        <f>_xlfn.XLOOKUP(A103,'Source Information - Staff'!C:C,'Source Information - Staff'!F:F,"")</f>
        <v>0</v>
      </c>
      <c r="C103" s="116">
        <f t="shared" si="2"/>
        <v>0</v>
      </c>
      <c r="D103" s="34">
        <f t="shared" si="3"/>
        <v>0</v>
      </c>
      <c r="E103" s="110"/>
      <c r="F103" s="4">
        <f>_xlfn.XLOOKUP(E103,Roles[ASSSIGNED ROLE],Roles[Points],"")</f>
        <v>0</v>
      </c>
      <c r="G103" s="106"/>
      <c r="H103" s="38">
        <f>_xlfn.XLOOKUP(G103,Roles[ASSSIGNED ROLE],Roles[Points],"")</f>
        <v>0</v>
      </c>
      <c r="I103" s="106"/>
      <c r="J103" s="38">
        <f>_xlfn.XLOOKUP(I103,Roles[ASSSIGNED ROLE],Roles[Points],"")</f>
        <v>0</v>
      </c>
      <c r="K103" s="106"/>
      <c r="L103" s="38">
        <f>_xlfn.XLOOKUP(K103,Roles[ASSSIGNED ROLE],Roles[Points],"")</f>
        <v>0</v>
      </c>
      <c r="M103" s="106"/>
      <c r="N103" s="38">
        <f>_xlfn.XLOOKUP(M103,Roles[ASSSIGNED ROLE],Roles[Points],"")</f>
        <v>0</v>
      </c>
      <c r="O103" s="106"/>
      <c r="P103" s="38">
        <f>_xlfn.XLOOKUP(O103,Roles[ASSSIGNED ROLE],Roles[Points],"")</f>
        <v>0</v>
      </c>
    </row>
    <row r="104" spans="1:16" ht="15.75" thickBot="1" x14ac:dyDescent="0.3">
      <c r="B104" s="4">
        <f>_xlfn.XLOOKUP(A104,'Source Information - Staff'!C:C,'Source Information - Staff'!F:F,"")</f>
        <v>0</v>
      </c>
      <c r="C104" s="116">
        <f t="shared" si="2"/>
        <v>0</v>
      </c>
      <c r="D104" s="34">
        <f t="shared" si="3"/>
        <v>0</v>
      </c>
      <c r="E104" s="110"/>
      <c r="F104" s="4">
        <f>_xlfn.XLOOKUP(E104,Roles[ASSSIGNED ROLE],Roles[Points],"")</f>
        <v>0</v>
      </c>
      <c r="G104" s="106"/>
      <c r="H104" s="38">
        <f>_xlfn.XLOOKUP(G104,Roles[ASSSIGNED ROLE],Roles[Points],"")</f>
        <v>0</v>
      </c>
      <c r="I104" s="106"/>
      <c r="J104" s="38">
        <f>_xlfn.XLOOKUP(I104,Roles[ASSSIGNED ROLE],Roles[Points],"")</f>
        <v>0</v>
      </c>
      <c r="K104" s="106"/>
      <c r="L104" s="38">
        <f>_xlfn.XLOOKUP(K104,Roles[ASSSIGNED ROLE],Roles[Points],"")</f>
        <v>0</v>
      </c>
      <c r="M104" s="106"/>
      <c r="N104" s="38">
        <f>_xlfn.XLOOKUP(M104,Roles[ASSSIGNED ROLE],Roles[Points],"")</f>
        <v>0</v>
      </c>
      <c r="O104" s="106"/>
      <c r="P104" s="38">
        <f>_xlfn.XLOOKUP(O104,Roles[ASSSIGNED ROLE],Roles[Points],"")</f>
        <v>0</v>
      </c>
    </row>
    <row r="105" spans="1:16" ht="15.75" thickBot="1" x14ac:dyDescent="0.3">
      <c r="B105" s="4">
        <f>_xlfn.XLOOKUP(A105,'Source Information - Staff'!C:C,'Source Information - Staff'!F:F,"")</f>
        <v>0</v>
      </c>
      <c r="C105" s="116">
        <f t="shared" si="2"/>
        <v>0</v>
      </c>
      <c r="D105" s="34">
        <f t="shared" si="3"/>
        <v>2</v>
      </c>
      <c r="E105" s="110" t="s">
        <v>287</v>
      </c>
      <c r="F105" s="4">
        <f>_xlfn.XLOOKUP(E105,Roles[ASSSIGNED ROLE],Roles[Points],"")</f>
        <v>2</v>
      </c>
      <c r="G105" s="106"/>
      <c r="H105" s="38">
        <f>_xlfn.XLOOKUP(G105,Roles[ASSSIGNED ROLE],Roles[Points],"")</f>
        <v>0</v>
      </c>
      <c r="I105" s="106"/>
      <c r="J105" s="38">
        <f>_xlfn.XLOOKUP(I105,Roles[ASSSIGNED ROLE],Roles[Points],"")</f>
        <v>0</v>
      </c>
      <c r="K105" s="106"/>
      <c r="L105" s="38">
        <f>_xlfn.XLOOKUP(K105,Roles[ASSSIGNED ROLE],Roles[Points],"")</f>
        <v>0</v>
      </c>
      <c r="M105" s="106"/>
      <c r="N105" s="38">
        <f>_xlfn.XLOOKUP(M105,Roles[ASSSIGNED ROLE],Roles[Points],"")</f>
        <v>0</v>
      </c>
      <c r="O105" s="106"/>
      <c r="P105" s="38">
        <f>_xlfn.XLOOKUP(O105,Roles[ASSSIGNED ROLE],Roles[Points],"")</f>
        <v>0</v>
      </c>
    </row>
    <row r="106" spans="1:16" ht="15.75" thickBot="1" x14ac:dyDescent="0.3">
      <c r="B106" s="4">
        <f>_xlfn.XLOOKUP(A106,'Source Information - Staff'!C:C,'Source Information - Staff'!F:F,"")</f>
        <v>0</v>
      </c>
      <c r="C106" s="116">
        <f t="shared" si="2"/>
        <v>0</v>
      </c>
      <c r="D106" s="34">
        <f t="shared" si="3"/>
        <v>0</v>
      </c>
      <c r="E106" s="110"/>
      <c r="F106" s="4">
        <f>_xlfn.XLOOKUP(E106,Roles[ASSSIGNED ROLE],Roles[Points],"")</f>
        <v>0</v>
      </c>
      <c r="G106" s="106"/>
      <c r="H106" s="38">
        <f>_xlfn.XLOOKUP(G106,Roles[ASSSIGNED ROLE],Roles[Points],"")</f>
        <v>0</v>
      </c>
      <c r="I106" s="106"/>
      <c r="J106" s="38">
        <f>_xlfn.XLOOKUP(I106,Roles[ASSSIGNED ROLE],Roles[Points],"")</f>
        <v>0</v>
      </c>
      <c r="K106" s="106"/>
      <c r="L106" s="38">
        <f>_xlfn.XLOOKUP(K106,Roles[ASSSIGNED ROLE],Roles[Points],"")</f>
        <v>0</v>
      </c>
      <c r="N106" s="38">
        <f>_xlfn.XLOOKUP(M106,Roles[ASSSIGNED ROLE],Roles[Points],"")</f>
        <v>0</v>
      </c>
      <c r="P106" s="38">
        <f>_xlfn.XLOOKUP(O106,Roles[ASSSIGNED ROLE],Roles[Points],"")</f>
        <v>0</v>
      </c>
    </row>
    <row r="107" spans="1:16" ht="15.75" thickBot="1" x14ac:dyDescent="0.3">
      <c r="B107" s="4">
        <f>_xlfn.XLOOKUP(A107,'Source Information - Staff'!C:C,'Source Information - Staff'!F:F,"")</f>
        <v>0</v>
      </c>
      <c r="C107" s="116">
        <f t="shared" si="2"/>
        <v>0</v>
      </c>
      <c r="D107" s="34">
        <f t="shared" si="3"/>
        <v>12.231884057971016</v>
      </c>
      <c r="E107" s="110" t="s">
        <v>293</v>
      </c>
      <c r="F107" s="4">
        <f>_xlfn.XLOOKUP(E107,Roles[ASSSIGNED ROLE],Roles[Points],"")</f>
        <v>10.028985507246377</v>
      </c>
      <c r="G107" s="106" t="s">
        <v>274</v>
      </c>
      <c r="H107" s="38">
        <f>_xlfn.XLOOKUP(G107,Roles[ASSSIGNED ROLE],Roles[Points],"")</f>
        <v>2.2028985507246377</v>
      </c>
      <c r="I107" s="106"/>
      <c r="J107" s="38">
        <f>_xlfn.XLOOKUP(I107,Roles[ASSSIGNED ROLE],Roles[Points],"")</f>
        <v>0</v>
      </c>
      <c r="K107" s="106"/>
      <c r="L107" s="38">
        <f>_xlfn.XLOOKUP(K107,Roles[ASSSIGNED ROLE],Roles[Points],"")</f>
        <v>0</v>
      </c>
      <c r="N107" s="38">
        <f>_xlfn.XLOOKUP(M107,Roles[ASSSIGNED ROLE],Roles[Points],"")</f>
        <v>0</v>
      </c>
      <c r="P107" s="38">
        <f>_xlfn.XLOOKUP(O107,Roles[ASSSIGNED ROLE],Roles[Points],"")</f>
        <v>0</v>
      </c>
    </row>
    <row r="108" spans="1:16" ht="15.75" thickBot="1" x14ac:dyDescent="0.3">
      <c r="B108" s="4">
        <f>_xlfn.XLOOKUP(A108,'Source Information - Staff'!C:C,'Source Information - Staff'!F:F,"")</f>
        <v>0</v>
      </c>
      <c r="C108" s="116">
        <f t="shared" si="2"/>
        <v>0</v>
      </c>
      <c r="D108" s="34">
        <f t="shared" si="3"/>
        <v>12.173913043478262</v>
      </c>
      <c r="E108" s="110" t="s">
        <v>294</v>
      </c>
      <c r="F108" s="4">
        <f>_xlfn.XLOOKUP(E108,Roles[ASSSIGNED ROLE],Roles[Points],"")</f>
        <v>4.9855072463768115</v>
      </c>
      <c r="G108" s="106" t="s">
        <v>274</v>
      </c>
      <c r="H108" s="38">
        <f>_xlfn.XLOOKUP(G108,Roles[ASSSIGNED ROLE],Roles[Points],"")</f>
        <v>2.2028985507246377</v>
      </c>
      <c r="I108" s="106" t="s">
        <v>265</v>
      </c>
      <c r="J108" s="38">
        <f>_xlfn.XLOOKUP(I108,Roles[ASSSIGNED ROLE],Roles[Points],"")</f>
        <v>4.9855072463768115</v>
      </c>
      <c r="K108" s="106"/>
      <c r="L108" s="38">
        <f>_xlfn.XLOOKUP(K108,Roles[ASSSIGNED ROLE],Roles[Points],"")</f>
        <v>0</v>
      </c>
      <c r="N108" s="38">
        <f>_xlfn.XLOOKUP(M108,Roles[ASSSIGNED ROLE],Roles[Points],"")</f>
        <v>0</v>
      </c>
      <c r="P108" s="38">
        <f>_xlfn.XLOOKUP(O108,Roles[ASSSIGNED ROLE],Roles[Points],"")</f>
        <v>0</v>
      </c>
    </row>
    <row r="109" spans="1:16" ht="15.75" thickBot="1" x14ac:dyDescent="0.3">
      <c r="B109" s="4">
        <f>_xlfn.XLOOKUP(A109,'Source Information - Staff'!C:C,'Source Information - Staff'!F:F,"")</f>
        <v>0</v>
      </c>
      <c r="C109" s="116">
        <f t="shared" si="2"/>
        <v>0</v>
      </c>
      <c r="D109" s="34">
        <f t="shared" si="3"/>
        <v>0</v>
      </c>
      <c r="E109" s="110"/>
      <c r="F109" s="4">
        <f>_xlfn.XLOOKUP(E109,Roles[ASSSIGNED ROLE],Roles[Points],"")</f>
        <v>0</v>
      </c>
      <c r="G109" s="106"/>
      <c r="H109" s="38">
        <f>_xlfn.XLOOKUP(G109,Roles[ASSSIGNED ROLE],Roles[Points],"")</f>
        <v>0</v>
      </c>
      <c r="I109" s="106"/>
      <c r="J109" s="38">
        <f>_xlfn.XLOOKUP(I109,Roles[ASSSIGNED ROLE],Roles[Points],"")</f>
        <v>0</v>
      </c>
      <c r="K109" s="106"/>
      <c r="L109" s="38">
        <f>_xlfn.XLOOKUP(K109,Roles[ASSSIGNED ROLE],Roles[Points],"")</f>
        <v>0</v>
      </c>
      <c r="N109" s="38">
        <f>_xlfn.XLOOKUP(M109,Roles[ASSSIGNED ROLE],Roles[Points],"")</f>
        <v>0</v>
      </c>
      <c r="P109" s="38">
        <f>_xlfn.XLOOKUP(O109,Roles[ASSSIGNED ROLE],Roles[Points],"")</f>
        <v>0</v>
      </c>
    </row>
    <row r="110" spans="1:16" ht="15.75" thickBot="1" x14ac:dyDescent="0.3">
      <c r="B110" s="4">
        <f>_xlfn.XLOOKUP(A110,'Source Information - Staff'!C:C,'Source Information - Staff'!F:F,"")</f>
        <v>0</v>
      </c>
      <c r="C110" s="116">
        <f t="shared" ref="C110:C111" si="4">IFERROR((B110*10),"")</f>
        <v>0</v>
      </c>
      <c r="D110" s="34">
        <f t="shared" ref="D110:D111" si="5">SUM(F110,H110,J110,L110,N110)</f>
        <v>0</v>
      </c>
      <c r="E110" s="110"/>
      <c r="F110" s="4">
        <f>_xlfn.XLOOKUP(E110,Roles[ASSSIGNED ROLE],Roles[Points],"")</f>
        <v>0</v>
      </c>
      <c r="G110" s="106"/>
      <c r="H110" s="38">
        <f>_xlfn.XLOOKUP(G110,Roles[ASSSIGNED ROLE],Roles[Points],"")</f>
        <v>0</v>
      </c>
      <c r="I110" s="106"/>
      <c r="J110" s="38">
        <f>_xlfn.XLOOKUP(I110,Roles[ASSSIGNED ROLE],Roles[Points],"")</f>
        <v>0</v>
      </c>
      <c r="K110" s="106"/>
      <c r="L110" s="38">
        <f>_xlfn.XLOOKUP(K110,Roles[ASSSIGNED ROLE],Roles[Points],"")</f>
        <v>0</v>
      </c>
      <c r="N110" s="38">
        <f>_xlfn.XLOOKUP(M110,Roles[ASSSIGNED ROLE],Roles[Points],"")</f>
        <v>0</v>
      </c>
      <c r="P110" s="38">
        <f>_xlfn.XLOOKUP(O110,Roles[ASSSIGNED ROLE],Roles[Points],"")</f>
        <v>0</v>
      </c>
    </row>
    <row r="111" spans="1:16" ht="15.75" thickBot="1" x14ac:dyDescent="0.3">
      <c r="B111" s="4">
        <f>_xlfn.XLOOKUP(A111,'Source Information - Staff'!C:C,'Source Information - Staff'!F:F,"")</f>
        <v>0</v>
      </c>
      <c r="C111" s="116">
        <f t="shared" si="4"/>
        <v>0</v>
      </c>
      <c r="D111" s="34">
        <f t="shared" si="5"/>
        <v>0</v>
      </c>
      <c r="E111" s="110"/>
      <c r="F111" s="4">
        <f>_xlfn.XLOOKUP(E111,Roles[ASSSIGNED ROLE],Roles[Points],"")</f>
        <v>0</v>
      </c>
      <c r="G111" s="106"/>
      <c r="H111" s="38">
        <f>_xlfn.XLOOKUP(G111,Roles[ASSSIGNED ROLE],Roles[Points],"")</f>
        <v>0</v>
      </c>
      <c r="I111" s="106"/>
      <c r="J111" s="38">
        <f>_xlfn.XLOOKUP(I111,Roles[ASSSIGNED ROLE],Roles[Points],"")</f>
        <v>0</v>
      </c>
      <c r="K111" s="106"/>
      <c r="L111" s="38">
        <f>_xlfn.XLOOKUP(K111,Roles[ASSSIGNED ROLE],Roles[Points],"")</f>
        <v>0</v>
      </c>
      <c r="N111" s="38">
        <f>_xlfn.XLOOKUP(M111,Roles[ASSSIGNED ROLE],Roles[Points],"")</f>
        <v>0</v>
      </c>
      <c r="P111" s="38">
        <f>_xlfn.XLOOKUP(O111,Roles[ASSSIGNED ROLE],Roles[Points],"")</f>
        <v>0</v>
      </c>
    </row>
    <row r="112" spans="1:16" ht="15.75" thickBot="1" x14ac:dyDescent="0.3">
      <c r="B112" s="4">
        <f>_xlfn.XLOOKUP(A112,'Source Information - Staff'!C:C,'Source Information - Staff'!F:F,"")</f>
        <v>0</v>
      </c>
      <c r="C112" s="116">
        <f t="shared" ref="C112" si="6">IFERROR((B112*10),"")</f>
        <v>0</v>
      </c>
      <c r="D112" s="34">
        <f t="shared" ref="D112" si="7">SUM(F112,H112,J112,L112,N112)</f>
        <v>0</v>
      </c>
      <c r="E112" s="110"/>
      <c r="F112" s="4">
        <f>_xlfn.XLOOKUP(E112,Roles[ASSSIGNED ROLE],Roles[Points],"")</f>
        <v>0</v>
      </c>
      <c r="G112" s="106"/>
      <c r="H112" s="38">
        <f>_xlfn.XLOOKUP(G112,Roles[ASSSIGNED ROLE],Roles[Points],"")</f>
        <v>0</v>
      </c>
      <c r="I112" s="106"/>
      <c r="J112" s="38">
        <f>_xlfn.XLOOKUP(I112,Roles[ASSSIGNED ROLE],Roles[Points],"")</f>
        <v>0</v>
      </c>
      <c r="K112" s="106"/>
      <c r="L112" s="38">
        <f>_xlfn.XLOOKUP(K112,Roles[ASSSIGNED ROLE],Roles[Points],"")</f>
        <v>0</v>
      </c>
      <c r="N112" s="38">
        <f>_xlfn.XLOOKUP(M112,Roles[ASSSIGNED ROLE],Roles[Points],"")</f>
        <v>0</v>
      </c>
      <c r="P112" s="38">
        <f>_xlfn.XLOOKUP(O112,Roles[ASSSIGNED ROLE],Roles[Points],"")</f>
        <v>0</v>
      </c>
    </row>
    <row r="113" spans="2:5" ht="15.75" thickBot="1" x14ac:dyDescent="0.3">
      <c r="B113" s="4">
        <f>_xlfn.XLOOKUP(A113,'Source Information - Staff'!C:C,'Source Information - Staff'!F:F,"")</f>
        <v>0</v>
      </c>
      <c r="C113" s="116">
        <f t="shared" ref="C113:C119" si="8">IFERROR((B113*10),"")</f>
        <v>0</v>
      </c>
      <c r="D113" s="34">
        <f t="shared" ref="D113:D119" si="9">SUM(F113,H113,J113,L113,N113)</f>
        <v>0</v>
      </c>
      <c r="E113" s="110"/>
    </row>
    <row r="114" spans="2:5" ht="15.75" thickBot="1" x14ac:dyDescent="0.3">
      <c r="B114" s="4">
        <f>_xlfn.XLOOKUP(A114,'Source Information - Staff'!C:C,'Source Information - Staff'!F:F,"")</f>
        <v>0</v>
      </c>
      <c r="C114" s="116">
        <f t="shared" si="8"/>
        <v>0</v>
      </c>
      <c r="D114" s="34">
        <f t="shared" si="9"/>
        <v>0</v>
      </c>
      <c r="E114" s="110"/>
    </row>
    <row r="115" spans="2:5" ht="15.75" thickBot="1" x14ac:dyDescent="0.3">
      <c r="B115" s="4">
        <f>_xlfn.XLOOKUP(A115,'Source Information - Staff'!C:C,'Source Information - Staff'!F:F,"")</f>
        <v>0</v>
      </c>
      <c r="C115" s="116">
        <f t="shared" si="8"/>
        <v>0</v>
      </c>
      <c r="D115" s="34">
        <f t="shared" si="9"/>
        <v>0</v>
      </c>
      <c r="E115" s="110"/>
    </row>
    <row r="116" spans="2:5" ht="15.75" thickBot="1" x14ac:dyDescent="0.3">
      <c r="B116" s="4">
        <f>_xlfn.XLOOKUP(A116,'Source Information - Staff'!C:C,'Source Information - Staff'!F:F,"")</f>
        <v>0</v>
      </c>
      <c r="C116" s="116">
        <f t="shared" si="8"/>
        <v>0</v>
      </c>
      <c r="D116" s="34">
        <f t="shared" si="9"/>
        <v>0</v>
      </c>
      <c r="E116" s="110"/>
    </row>
    <row r="117" spans="2:5" ht="15.75" thickBot="1" x14ac:dyDescent="0.3">
      <c r="B117" s="4">
        <f>_xlfn.XLOOKUP(A117,'Source Information - Staff'!C:C,'Source Information - Staff'!F:F,"")</f>
        <v>0</v>
      </c>
      <c r="C117" s="116">
        <f t="shared" si="8"/>
        <v>0</v>
      </c>
      <c r="D117" s="34">
        <f t="shared" si="9"/>
        <v>0</v>
      </c>
      <c r="E117" s="110"/>
    </row>
    <row r="118" spans="2:5" ht="15.75" thickBot="1" x14ac:dyDescent="0.3">
      <c r="B118" s="4">
        <f>_xlfn.XLOOKUP(A118,'Source Information - Staff'!C:C,'Source Information - Staff'!F:F,"")</f>
        <v>0</v>
      </c>
      <c r="C118" s="116">
        <f t="shared" si="8"/>
        <v>0</v>
      </c>
      <c r="D118" s="34">
        <f t="shared" si="9"/>
        <v>0</v>
      </c>
      <c r="E118" s="110"/>
    </row>
    <row r="119" spans="2:5" ht="15.75" thickBot="1" x14ac:dyDescent="0.3">
      <c r="B119" s="4">
        <f>_xlfn.XLOOKUP(A119,'Source Information - Staff'!C:C,'Source Information - Staff'!F:F,"")</f>
        <v>0</v>
      </c>
      <c r="C119" s="116">
        <f t="shared" si="8"/>
        <v>0</v>
      </c>
      <c r="D119" s="34">
        <f t="shared" si="9"/>
        <v>0</v>
      </c>
      <c r="E119" s="110"/>
    </row>
  </sheetData>
  <sheetProtection formatCells="0" autoFilter="0" pivotTables="0"/>
  <autoFilter ref="A2:P132" xr:uid="{71E40A30-A0C6-4434-9896-BA8A6E597AC7}"/>
  <mergeCells count="6">
    <mergeCell ref="M1:N1"/>
    <mergeCell ref="O1:P1"/>
    <mergeCell ref="E1:F1"/>
    <mergeCell ref="G1:H1"/>
    <mergeCell ref="I1:J1"/>
    <mergeCell ref="K1:L1"/>
  </mergeCells>
  <phoneticPr fontId="5" type="noConversion"/>
  <pageMargins left="0.7" right="0.7" top="0.75" bottom="0.75" header="0.3" footer="0.3"/>
  <pageSetup paperSize="9"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298" yWindow="333" count="1">
        <x14:dataValidation type="list" allowBlank="1" showInputMessage="1" showErrorMessage="1" promptTitle="Instructions" prompt="Select relevant role._x000a__x000a_To control the role that appears in the drop down options see the instructions for cell D1." xr:uid="{E0C2F138-92F9-4E99-A576-64688B614B6C}">
          <x14:formula1>
            <xm:f>IF($D$1&lt;&gt;"",_xlfn.ANCHORARRAY('Source Information - Roles'!$I$2),INDIRECT("Roles[ASSSIGNED ROLE]"))</xm:f>
          </x14:formula1>
          <xm:sqref>E3:E119 G3:G112 I3:I112 K3:K112 M3:M112 O3:O112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00A87-9999-4801-8EF8-C5D843C8A7A6}">
  <sheetPr codeName="Sheet10"/>
  <dimension ref="A1:H259"/>
  <sheetViews>
    <sheetView topLeftCell="A79" workbookViewId="0">
      <selection activeCell="A93" sqref="A93"/>
    </sheetView>
  </sheetViews>
  <sheetFormatPr defaultRowHeight="15" x14ac:dyDescent="0.25"/>
  <cols>
    <col min="1" max="1" width="36.42578125" customWidth="1"/>
    <col min="2" max="2" width="80.42578125" bestFit="1" customWidth="1"/>
    <col min="3" max="3" width="15.85546875" style="21" bestFit="1" customWidth="1"/>
    <col min="4" max="4" width="22.42578125" bestFit="1" customWidth="1"/>
    <col min="5" max="5" width="22.42578125" customWidth="1"/>
    <col min="6" max="6" width="22.42578125" bestFit="1" customWidth="1"/>
  </cols>
  <sheetData>
    <row r="1" spans="1:8" x14ac:dyDescent="0.25">
      <c r="A1" s="84" t="s">
        <v>380</v>
      </c>
      <c r="B1" s="84" t="s">
        <v>381</v>
      </c>
      <c r="C1" s="84" t="s">
        <v>382</v>
      </c>
      <c r="D1" s="120" t="s">
        <v>383</v>
      </c>
      <c r="E1" s="82" t="s">
        <v>384</v>
      </c>
      <c r="F1" s="84" t="s">
        <v>385</v>
      </c>
      <c r="H1" s="1" t="s">
        <v>386</v>
      </c>
    </row>
    <row r="2" spans="1:8" x14ac:dyDescent="0.25">
      <c r="A2" s="81" t="s">
        <v>141</v>
      </c>
      <c r="B2" s="130" t="s">
        <v>387</v>
      </c>
      <c r="C2" s="118"/>
      <c r="D2">
        <v>9</v>
      </c>
      <c r="E2">
        <f>IF(D2&gt;0,ROUNDUP(((35+(D2*0.8625))/17.25),1),"")</f>
        <v>2.5</v>
      </c>
      <c r="F2">
        <v>0</v>
      </c>
      <c r="H2" t="str" cm="1">
        <f t="array" ref="H2">_xlfn._xlws.FILTER(Unit_Codes[Unit Codes],ISNUMBER(SEARCH('Data Entry - Teaching'!$A$1,Unit_Codes[Unit Codes]))*('Data Entry - Teaching'!$A$1&lt;&gt;""),"No results")</f>
        <v>No results</v>
      </c>
    </row>
    <row r="3" spans="1:8" x14ac:dyDescent="0.25">
      <c r="A3" s="81" t="s">
        <v>388</v>
      </c>
      <c r="B3" s="130" t="s">
        <v>389</v>
      </c>
      <c r="C3" s="118"/>
      <c r="D3">
        <v>7</v>
      </c>
      <c r="E3">
        <f t="shared" ref="E3:E12" si="0">IF(D3&gt;0,ROUNDUP(((35+(D3*0.8625))/17.25),1),"")</f>
        <v>2.4</v>
      </c>
      <c r="F3">
        <v>0</v>
      </c>
    </row>
    <row r="4" spans="1:8" x14ac:dyDescent="0.25">
      <c r="A4" s="81" t="s">
        <v>390</v>
      </c>
      <c r="B4" s="130" t="s">
        <v>391</v>
      </c>
      <c r="C4" s="118"/>
      <c r="D4">
        <v>25</v>
      </c>
      <c r="E4">
        <f t="shared" si="0"/>
        <v>3.3000000000000003</v>
      </c>
      <c r="F4">
        <v>0</v>
      </c>
    </row>
    <row r="5" spans="1:8" x14ac:dyDescent="0.25">
      <c r="A5" s="81" t="s">
        <v>392</v>
      </c>
      <c r="B5" s="130" t="s">
        <v>393</v>
      </c>
      <c r="C5" s="118"/>
      <c r="D5">
        <v>0</v>
      </c>
      <c r="E5" t="str">
        <f t="shared" si="0"/>
        <v/>
      </c>
      <c r="F5">
        <v>0</v>
      </c>
    </row>
    <row r="6" spans="1:8" x14ac:dyDescent="0.25">
      <c r="A6" s="81" t="s">
        <v>394</v>
      </c>
      <c r="B6" s="130" t="s">
        <v>393</v>
      </c>
      <c r="C6" s="118"/>
      <c r="D6">
        <v>0</v>
      </c>
      <c r="E6" t="str">
        <f t="shared" si="0"/>
        <v/>
      </c>
      <c r="F6">
        <v>0</v>
      </c>
    </row>
    <row r="7" spans="1:8" x14ac:dyDescent="0.25">
      <c r="A7" s="81" t="s">
        <v>395</v>
      </c>
      <c r="B7" s="130" t="s">
        <v>396</v>
      </c>
      <c r="C7" s="118"/>
      <c r="D7">
        <v>1</v>
      </c>
      <c r="E7">
        <f t="shared" si="0"/>
        <v>2.1</v>
      </c>
      <c r="F7">
        <v>0</v>
      </c>
    </row>
    <row r="8" spans="1:8" x14ac:dyDescent="0.25">
      <c r="A8" s="81" t="s">
        <v>397</v>
      </c>
      <c r="B8" s="130" t="s">
        <v>396</v>
      </c>
      <c r="C8" s="118"/>
      <c r="D8">
        <v>0</v>
      </c>
      <c r="E8" t="str">
        <f t="shared" si="0"/>
        <v/>
      </c>
      <c r="F8">
        <v>0</v>
      </c>
    </row>
    <row r="9" spans="1:8" x14ac:dyDescent="0.25">
      <c r="A9" s="81" t="s">
        <v>398</v>
      </c>
      <c r="B9" s="130" t="s">
        <v>399</v>
      </c>
      <c r="C9" s="118"/>
      <c r="D9">
        <v>0</v>
      </c>
      <c r="E9" t="str">
        <f t="shared" si="0"/>
        <v/>
      </c>
      <c r="F9">
        <v>0</v>
      </c>
    </row>
    <row r="10" spans="1:8" x14ac:dyDescent="0.25">
      <c r="A10" s="81" t="s">
        <v>400</v>
      </c>
      <c r="B10" s="130" t="s">
        <v>399</v>
      </c>
      <c r="C10" s="118"/>
      <c r="D10">
        <v>0</v>
      </c>
      <c r="E10" t="str">
        <f t="shared" si="0"/>
        <v/>
      </c>
      <c r="F10">
        <v>0</v>
      </c>
    </row>
    <row r="11" spans="1:8" x14ac:dyDescent="0.25">
      <c r="A11" s="81" t="s">
        <v>401</v>
      </c>
      <c r="B11" s="130" t="s">
        <v>396</v>
      </c>
      <c r="C11" s="118"/>
      <c r="D11">
        <v>0</v>
      </c>
      <c r="E11" t="str">
        <f t="shared" si="0"/>
        <v/>
      </c>
      <c r="F11">
        <v>0</v>
      </c>
    </row>
    <row r="12" spans="1:8" x14ac:dyDescent="0.25">
      <c r="A12" s="81" t="s">
        <v>402</v>
      </c>
      <c r="B12" s="130" t="s">
        <v>396</v>
      </c>
      <c r="C12" s="118"/>
      <c r="D12">
        <v>0</v>
      </c>
      <c r="E12" t="str">
        <f t="shared" si="0"/>
        <v/>
      </c>
      <c r="F12">
        <v>0</v>
      </c>
    </row>
    <row r="13" spans="1:8" s="151" customFormat="1" x14ac:dyDescent="0.25">
      <c r="A13" s="160" t="s">
        <v>59</v>
      </c>
      <c r="B13" s="161" t="s">
        <v>403</v>
      </c>
      <c r="C13" s="162"/>
      <c r="D13" s="151">
        <v>639</v>
      </c>
      <c r="E13" s="151">
        <f t="shared" ref="E13:E76" si="1">IF(D13&gt;0,ROUNDUP(((35+(D13*0.8625))/17.25),1),"")</f>
        <v>34</v>
      </c>
      <c r="F13" s="151">
        <v>0</v>
      </c>
    </row>
    <row r="14" spans="1:8" s="151" customFormat="1" x14ac:dyDescent="0.25">
      <c r="A14" s="160" t="s">
        <v>49</v>
      </c>
      <c r="B14" s="161" t="s">
        <v>404</v>
      </c>
      <c r="C14" s="162"/>
      <c r="D14" s="151">
        <v>1104</v>
      </c>
      <c r="E14" s="151">
        <f t="shared" si="1"/>
        <v>57.300000000000004</v>
      </c>
      <c r="F14" s="151">
        <v>0</v>
      </c>
    </row>
    <row r="15" spans="1:8" x14ac:dyDescent="0.25">
      <c r="A15" s="81" t="s">
        <v>73</v>
      </c>
      <c r="B15" s="130" t="s">
        <v>405</v>
      </c>
      <c r="C15" s="118"/>
      <c r="D15">
        <v>700</v>
      </c>
      <c r="E15">
        <f t="shared" si="1"/>
        <v>37.1</v>
      </c>
      <c r="F15">
        <v>0</v>
      </c>
    </row>
    <row r="16" spans="1:8" x14ac:dyDescent="0.25">
      <c r="A16" s="81" t="s">
        <v>63</v>
      </c>
      <c r="B16" s="130" t="s">
        <v>406</v>
      </c>
      <c r="C16" s="118"/>
      <c r="D16">
        <v>55</v>
      </c>
      <c r="E16">
        <f t="shared" si="1"/>
        <v>4.8</v>
      </c>
      <c r="F16">
        <v>0</v>
      </c>
    </row>
    <row r="17" spans="1:6" x14ac:dyDescent="0.25">
      <c r="A17" s="81" t="s">
        <v>29</v>
      </c>
      <c r="B17" s="130" t="s">
        <v>407</v>
      </c>
      <c r="C17" s="118"/>
      <c r="D17">
        <v>466</v>
      </c>
      <c r="E17">
        <f t="shared" si="1"/>
        <v>25.400000000000002</v>
      </c>
      <c r="F17">
        <v>0</v>
      </c>
    </row>
    <row r="18" spans="1:6" x14ac:dyDescent="0.25">
      <c r="A18" s="81" t="s">
        <v>60</v>
      </c>
      <c r="B18" s="130" t="s">
        <v>408</v>
      </c>
      <c r="C18" s="118"/>
      <c r="D18">
        <v>505</v>
      </c>
      <c r="E18">
        <f t="shared" si="1"/>
        <v>27.3</v>
      </c>
      <c r="F18">
        <v>0</v>
      </c>
    </row>
    <row r="19" spans="1:6" x14ac:dyDescent="0.25">
      <c r="A19" s="81" t="s">
        <v>78</v>
      </c>
      <c r="B19" s="130" t="s">
        <v>409</v>
      </c>
      <c r="C19" s="118"/>
      <c r="D19">
        <v>117</v>
      </c>
      <c r="E19">
        <f t="shared" si="1"/>
        <v>7.8999999999999995</v>
      </c>
      <c r="F19">
        <v>0</v>
      </c>
    </row>
    <row r="20" spans="1:6" x14ac:dyDescent="0.25">
      <c r="A20" s="81" t="s">
        <v>30</v>
      </c>
      <c r="B20" s="130" t="s">
        <v>410</v>
      </c>
      <c r="C20" s="118"/>
      <c r="D20">
        <v>395</v>
      </c>
      <c r="E20">
        <f t="shared" si="1"/>
        <v>21.8</v>
      </c>
      <c r="F20">
        <v>0</v>
      </c>
    </row>
    <row r="21" spans="1:6" x14ac:dyDescent="0.25">
      <c r="A21" s="81" t="s">
        <v>82</v>
      </c>
      <c r="B21" s="130" t="s">
        <v>411</v>
      </c>
      <c r="C21" s="118"/>
      <c r="D21">
        <v>345</v>
      </c>
      <c r="E21">
        <f t="shared" si="1"/>
        <v>19.3</v>
      </c>
      <c r="F21">
        <v>0</v>
      </c>
    </row>
    <row r="22" spans="1:6" x14ac:dyDescent="0.25">
      <c r="A22" s="81" t="s">
        <v>33</v>
      </c>
      <c r="B22" s="130" t="s">
        <v>412</v>
      </c>
      <c r="C22" s="118"/>
      <c r="D22">
        <v>684</v>
      </c>
      <c r="E22">
        <f t="shared" si="1"/>
        <v>36.300000000000004</v>
      </c>
      <c r="F22">
        <v>0</v>
      </c>
    </row>
    <row r="23" spans="1:6" x14ac:dyDescent="0.25">
      <c r="A23" s="81" t="s">
        <v>51</v>
      </c>
      <c r="B23" s="130" t="s">
        <v>413</v>
      </c>
      <c r="C23" s="118"/>
      <c r="D23">
        <v>177</v>
      </c>
      <c r="E23">
        <f t="shared" si="1"/>
        <v>10.9</v>
      </c>
      <c r="F23">
        <v>0</v>
      </c>
    </row>
    <row r="24" spans="1:6" x14ac:dyDescent="0.25">
      <c r="A24" s="81" t="s">
        <v>61</v>
      </c>
      <c r="B24" s="130" t="s">
        <v>414</v>
      </c>
      <c r="C24" s="118"/>
      <c r="D24">
        <v>293</v>
      </c>
      <c r="E24">
        <f t="shared" si="1"/>
        <v>16.700000000000003</v>
      </c>
      <c r="F24">
        <v>0</v>
      </c>
    </row>
    <row r="25" spans="1:6" x14ac:dyDescent="0.25">
      <c r="A25" s="81" t="s">
        <v>34</v>
      </c>
      <c r="B25" s="130" t="s">
        <v>415</v>
      </c>
      <c r="C25" s="118"/>
      <c r="D25">
        <v>290</v>
      </c>
      <c r="E25">
        <f t="shared" si="1"/>
        <v>16.600000000000001</v>
      </c>
      <c r="F25">
        <v>0</v>
      </c>
    </row>
    <row r="26" spans="1:6" x14ac:dyDescent="0.25">
      <c r="A26" s="81" t="s">
        <v>84</v>
      </c>
      <c r="B26" s="130" t="s">
        <v>416</v>
      </c>
      <c r="C26" s="118"/>
      <c r="D26">
        <v>76</v>
      </c>
      <c r="E26">
        <f t="shared" si="1"/>
        <v>5.8999999999999995</v>
      </c>
      <c r="F26">
        <v>0</v>
      </c>
    </row>
    <row r="27" spans="1:6" x14ac:dyDescent="0.25">
      <c r="A27" s="81" t="s">
        <v>87</v>
      </c>
      <c r="B27" s="130" t="s">
        <v>417</v>
      </c>
      <c r="C27" s="118"/>
      <c r="D27">
        <v>76</v>
      </c>
      <c r="E27">
        <f t="shared" si="1"/>
        <v>5.8999999999999995</v>
      </c>
      <c r="F27">
        <v>0</v>
      </c>
    </row>
    <row r="28" spans="1:6" x14ac:dyDescent="0.25">
      <c r="A28" s="81" t="s">
        <v>36</v>
      </c>
      <c r="B28" s="130" t="s">
        <v>418</v>
      </c>
      <c r="C28" s="118"/>
      <c r="D28">
        <v>81</v>
      </c>
      <c r="E28">
        <f t="shared" si="1"/>
        <v>6.1</v>
      </c>
      <c r="F28">
        <v>0</v>
      </c>
    </row>
    <row r="29" spans="1:6" x14ac:dyDescent="0.25">
      <c r="A29" s="81" t="s">
        <v>37</v>
      </c>
      <c r="B29" s="130" t="s">
        <v>419</v>
      </c>
      <c r="C29" s="118"/>
      <c r="D29">
        <v>175</v>
      </c>
      <c r="E29">
        <f t="shared" si="1"/>
        <v>10.799999999999999</v>
      </c>
      <c r="F29">
        <v>0</v>
      </c>
    </row>
    <row r="30" spans="1:6" s="151" customFormat="1" x14ac:dyDescent="0.25">
      <c r="A30" s="160" t="s">
        <v>52</v>
      </c>
      <c r="B30" s="161" t="s">
        <v>420</v>
      </c>
      <c r="C30" s="162"/>
      <c r="D30" s="151">
        <v>28</v>
      </c>
      <c r="E30" s="151">
        <f t="shared" si="1"/>
        <v>3.5</v>
      </c>
      <c r="F30" s="151">
        <v>0</v>
      </c>
    </row>
    <row r="31" spans="1:6" x14ac:dyDescent="0.25">
      <c r="A31" s="81" t="s">
        <v>50</v>
      </c>
      <c r="B31" s="130" t="s">
        <v>421</v>
      </c>
      <c r="C31" s="118"/>
      <c r="D31">
        <v>128</v>
      </c>
      <c r="E31">
        <f t="shared" si="1"/>
        <v>8.5</v>
      </c>
      <c r="F31">
        <v>0</v>
      </c>
    </row>
    <row r="32" spans="1:6" x14ac:dyDescent="0.25">
      <c r="A32" s="81" t="s">
        <v>83</v>
      </c>
      <c r="B32" s="130" t="s">
        <v>422</v>
      </c>
      <c r="C32" s="118"/>
      <c r="D32">
        <v>312</v>
      </c>
      <c r="E32">
        <f t="shared" si="1"/>
        <v>17.700000000000003</v>
      </c>
      <c r="F32">
        <v>0</v>
      </c>
    </row>
    <row r="33" spans="1:6" x14ac:dyDescent="0.25">
      <c r="A33" s="81" t="s">
        <v>423</v>
      </c>
      <c r="B33" s="130" t="s">
        <v>424</v>
      </c>
      <c r="C33" s="118"/>
      <c r="D33">
        <v>35</v>
      </c>
      <c r="E33">
        <f t="shared" si="1"/>
        <v>3.8000000000000003</v>
      </c>
      <c r="F33">
        <v>0</v>
      </c>
    </row>
    <row r="34" spans="1:6" x14ac:dyDescent="0.25">
      <c r="A34" s="81" t="s">
        <v>425</v>
      </c>
      <c r="B34" s="130" t="s">
        <v>426</v>
      </c>
      <c r="C34" s="118"/>
      <c r="D34">
        <v>86</v>
      </c>
      <c r="E34">
        <f t="shared" si="1"/>
        <v>6.3999999999999995</v>
      </c>
      <c r="F34">
        <v>0</v>
      </c>
    </row>
    <row r="35" spans="1:6" x14ac:dyDescent="0.25">
      <c r="A35" s="81" t="s">
        <v>427</v>
      </c>
      <c r="B35" s="130" t="s">
        <v>428</v>
      </c>
      <c r="C35" s="118"/>
      <c r="D35">
        <v>26</v>
      </c>
      <c r="E35">
        <f t="shared" si="1"/>
        <v>3.4</v>
      </c>
      <c r="F35">
        <v>0</v>
      </c>
    </row>
    <row r="36" spans="1:6" x14ac:dyDescent="0.25">
      <c r="A36" s="81" t="s">
        <v>429</v>
      </c>
      <c r="B36" s="130" t="s">
        <v>430</v>
      </c>
      <c r="C36" s="118"/>
      <c r="D36">
        <v>364</v>
      </c>
      <c r="E36">
        <f t="shared" si="1"/>
        <v>20.3</v>
      </c>
      <c r="F36">
        <v>0</v>
      </c>
    </row>
    <row r="37" spans="1:6" x14ac:dyDescent="0.25">
      <c r="A37" s="81" t="s">
        <v>431</v>
      </c>
      <c r="B37" s="130" t="s">
        <v>432</v>
      </c>
      <c r="C37" s="118"/>
      <c r="D37">
        <v>39</v>
      </c>
      <c r="E37">
        <f t="shared" si="1"/>
        <v>4</v>
      </c>
      <c r="F37">
        <v>0</v>
      </c>
    </row>
    <row r="38" spans="1:6" x14ac:dyDescent="0.25">
      <c r="A38" s="81" t="s">
        <v>35</v>
      </c>
      <c r="B38" s="130" t="s">
        <v>433</v>
      </c>
      <c r="C38" s="118"/>
      <c r="D38">
        <v>238</v>
      </c>
      <c r="E38">
        <f t="shared" si="1"/>
        <v>14</v>
      </c>
      <c r="F38">
        <v>0</v>
      </c>
    </row>
    <row r="39" spans="1:6" x14ac:dyDescent="0.25">
      <c r="A39" s="160" t="s">
        <v>31</v>
      </c>
      <c r="B39" s="161" t="s">
        <v>434</v>
      </c>
      <c r="C39" s="162"/>
      <c r="D39" s="151">
        <v>47</v>
      </c>
      <c r="E39" s="151">
        <f t="shared" si="1"/>
        <v>4.3999999999999995</v>
      </c>
      <c r="F39" s="151">
        <v>21.5</v>
      </c>
    </row>
    <row r="40" spans="1:6" x14ac:dyDescent="0.25">
      <c r="A40" s="160" t="s">
        <v>32</v>
      </c>
      <c r="B40" s="161" t="s">
        <v>435</v>
      </c>
      <c r="C40" s="162"/>
      <c r="D40" s="151">
        <v>45</v>
      </c>
      <c r="E40" s="151">
        <f t="shared" si="1"/>
        <v>4.3</v>
      </c>
      <c r="F40" s="151">
        <v>21.5</v>
      </c>
    </row>
    <row r="41" spans="1:6" x14ac:dyDescent="0.25">
      <c r="A41" s="81" t="s">
        <v>86</v>
      </c>
      <c r="B41" s="130" t="s">
        <v>436</v>
      </c>
      <c r="C41" s="118"/>
      <c r="D41">
        <v>342</v>
      </c>
      <c r="E41">
        <f t="shared" si="1"/>
        <v>19.200000000000003</v>
      </c>
      <c r="F41">
        <v>0</v>
      </c>
    </row>
    <row r="42" spans="1:6" x14ac:dyDescent="0.25">
      <c r="A42" s="81" t="s">
        <v>437</v>
      </c>
      <c r="B42" s="130" t="s">
        <v>424</v>
      </c>
      <c r="C42" s="118"/>
      <c r="D42">
        <v>263</v>
      </c>
      <c r="E42">
        <f t="shared" si="1"/>
        <v>15.2</v>
      </c>
      <c r="F42">
        <v>0</v>
      </c>
    </row>
    <row r="43" spans="1:6" x14ac:dyDescent="0.25">
      <c r="A43" s="81" t="s">
        <v>85</v>
      </c>
      <c r="B43" s="130" t="s">
        <v>438</v>
      </c>
      <c r="C43" s="118"/>
      <c r="D43">
        <v>122</v>
      </c>
      <c r="E43">
        <f t="shared" si="1"/>
        <v>8.1999999999999993</v>
      </c>
      <c r="F43">
        <v>0</v>
      </c>
    </row>
    <row r="44" spans="1:6" x14ac:dyDescent="0.25">
      <c r="A44" s="81" t="s">
        <v>80</v>
      </c>
      <c r="B44" s="130" t="s">
        <v>439</v>
      </c>
      <c r="C44" s="118"/>
      <c r="D44">
        <v>108</v>
      </c>
      <c r="E44">
        <f t="shared" si="1"/>
        <v>7.5</v>
      </c>
      <c r="F44">
        <v>0</v>
      </c>
    </row>
    <row r="45" spans="1:6" x14ac:dyDescent="0.25">
      <c r="A45" s="81" t="s">
        <v>45</v>
      </c>
      <c r="B45" s="130" t="s">
        <v>440</v>
      </c>
      <c r="C45" s="118"/>
      <c r="D45">
        <v>115</v>
      </c>
      <c r="E45">
        <f t="shared" si="1"/>
        <v>7.8</v>
      </c>
      <c r="F45">
        <v>0</v>
      </c>
    </row>
    <row r="46" spans="1:6" x14ac:dyDescent="0.25">
      <c r="A46" s="81" t="s">
        <v>62</v>
      </c>
      <c r="B46" s="130" t="s">
        <v>441</v>
      </c>
      <c r="C46" s="118"/>
      <c r="D46">
        <v>329</v>
      </c>
      <c r="E46">
        <f t="shared" si="1"/>
        <v>18.5</v>
      </c>
      <c r="F46">
        <v>0</v>
      </c>
    </row>
    <row r="47" spans="1:6" x14ac:dyDescent="0.25">
      <c r="A47" s="81" t="s">
        <v>442</v>
      </c>
      <c r="B47" s="130" t="s">
        <v>443</v>
      </c>
      <c r="C47" s="118"/>
      <c r="D47">
        <v>13</v>
      </c>
      <c r="E47">
        <f t="shared" si="1"/>
        <v>2.7</v>
      </c>
      <c r="F47">
        <v>0</v>
      </c>
    </row>
    <row r="48" spans="1:6" x14ac:dyDescent="0.25">
      <c r="A48" s="81" t="s">
        <v>444</v>
      </c>
      <c r="B48" s="130" t="s">
        <v>445</v>
      </c>
      <c r="C48" s="118"/>
      <c r="D48">
        <v>4</v>
      </c>
      <c r="E48">
        <f t="shared" si="1"/>
        <v>2.3000000000000003</v>
      </c>
      <c r="F48">
        <v>0</v>
      </c>
    </row>
    <row r="49" spans="1:6" x14ac:dyDescent="0.25">
      <c r="A49" s="81" t="s">
        <v>446</v>
      </c>
      <c r="B49" s="130" t="s">
        <v>447</v>
      </c>
      <c r="C49" s="118"/>
      <c r="D49">
        <v>18</v>
      </c>
      <c r="E49">
        <f t="shared" si="1"/>
        <v>3</v>
      </c>
      <c r="F49">
        <v>0</v>
      </c>
    </row>
    <row r="50" spans="1:6" x14ac:dyDescent="0.25">
      <c r="A50" s="81" t="s">
        <v>448</v>
      </c>
      <c r="B50" s="130" t="s">
        <v>449</v>
      </c>
      <c r="C50" s="118"/>
      <c r="D50">
        <v>32</v>
      </c>
      <c r="E50">
        <f t="shared" si="1"/>
        <v>3.7</v>
      </c>
      <c r="F50">
        <v>0</v>
      </c>
    </row>
    <row r="51" spans="1:6" x14ac:dyDescent="0.25">
      <c r="A51" s="81" t="s">
        <v>450</v>
      </c>
      <c r="B51" s="130" t="s">
        <v>451</v>
      </c>
      <c r="C51" s="118"/>
      <c r="D51">
        <v>11</v>
      </c>
      <c r="E51">
        <f t="shared" si="1"/>
        <v>2.6</v>
      </c>
      <c r="F51">
        <v>0</v>
      </c>
    </row>
    <row r="52" spans="1:6" x14ac:dyDescent="0.25">
      <c r="A52" s="81" t="s">
        <v>452</v>
      </c>
      <c r="B52" s="130" t="s">
        <v>453</v>
      </c>
      <c r="C52" s="118"/>
      <c r="D52">
        <v>0</v>
      </c>
      <c r="E52" t="str">
        <f t="shared" si="1"/>
        <v/>
      </c>
      <c r="F52">
        <v>0</v>
      </c>
    </row>
    <row r="53" spans="1:6" x14ac:dyDescent="0.25">
      <c r="A53" s="81" t="s">
        <v>454</v>
      </c>
      <c r="B53" s="130" t="s">
        <v>455</v>
      </c>
      <c r="C53" s="118"/>
      <c r="D53">
        <v>2</v>
      </c>
      <c r="E53">
        <f t="shared" si="1"/>
        <v>2.2000000000000002</v>
      </c>
      <c r="F53">
        <v>0</v>
      </c>
    </row>
    <row r="54" spans="1:6" x14ac:dyDescent="0.25">
      <c r="A54" s="160" t="s">
        <v>40</v>
      </c>
      <c r="B54" s="161" t="s">
        <v>456</v>
      </c>
      <c r="C54" s="162"/>
      <c r="D54" s="151">
        <v>15</v>
      </c>
      <c r="E54" s="151">
        <f t="shared" si="1"/>
        <v>2.8000000000000003</v>
      </c>
      <c r="F54" s="151">
        <v>21.5</v>
      </c>
    </row>
    <row r="55" spans="1:6" x14ac:dyDescent="0.25">
      <c r="A55" s="160" t="s">
        <v>53</v>
      </c>
      <c r="B55" s="161" t="s">
        <v>457</v>
      </c>
      <c r="C55" s="162"/>
      <c r="D55" s="151">
        <v>10</v>
      </c>
      <c r="E55" s="151">
        <f t="shared" si="1"/>
        <v>2.6</v>
      </c>
      <c r="F55" s="151">
        <v>21.5</v>
      </c>
    </row>
    <row r="56" spans="1:6" x14ac:dyDescent="0.25">
      <c r="A56" s="81" t="s">
        <v>54</v>
      </c>
      <c r="B56" s="130" t="s">
        <v>458</v>
      </c>
      <c r="C56" s="118"/>
      <c r="D56">
        <v>103</v>
      </c>
      <c r="E56">
        <f t="shared" si="1"/>
        <v>7.1999999999999993</v>
      </c>
      <c r="F56">
        <v>0</v>
      </c>
    </row>
    <row r="57" spans="1:6" x14ac:dyDescent="0.25">
      <c r="A57" s="81" t="s">
        <v>459</v>
      </c>
      <c r="B57" s="130" t="s">
        <v>460</v>
      </c>
      <c r="C57" s="118"/>
      <c r="D57">
        <v>5</v>
      </c>
      <c r="E57">
        <f t="shared" si="1"/>
        <v>2.3000000000000003</v>
      </c>
      <c r="F57">
        <v>0</v>
      </c>
    </row>
    <row r="58" spans="1:6" x14ac:dyDescent="0.25">
      <c r="A58" s="81" t="s">
        <v>461</v>
      </c>
      <c r="B58" s="130" t="s">
        <v>460</v>
      </c>
      <c r="C58" s="118"/>
      <c r="D58">
        <v>0</v>
      </c>
      <c r="E58" t="str">
        <f t="shared" si="1"/>
        <v/>
      </c>
      <c r="F58">
        <v>0</v>
      </c>
    </row>
    <row r="59" spans="1:6" x14ac:dyDescent="0.25">
      <c r="A59" s="81" t="s">
        <v>462</v>
      </c>
      <c r="B59" s="105" t="s">
        <v>463</v>
      </c>
      <c r="C59" s="118"/>
      <c r="D59">
        <v>1</v>
      </c>
      <c r="E59">
        <f t="shared" si="1"/>
        <v>2.1</v>
      </c>
      <c r="F59">
        <v>0</v>
      </c>
    </row>
    <row r="60" spans="1:6" x14ac:dyDescent="0.25">
      <c r="A60" s="81" t="s">
        <v>464</v>
      </c>
      <c r="B60" s="105" t="s">
        <v>465</v>
      </c>
      <c r="C60" s="118"/>
      <c r="D60">
        <v>0</v>
      </c>
      <c r="E60" t="str">
        <f t="shared" si="1"/>
        <v/>
      </c>
      <c r="F60">
        <v>0</v>
      </c>
    </row>
    <row r="61" spans="1:6" s="151" customFormat="1" x14ac:dyDescent="0.25">
      <c r="A61" s="160" t="s">
        <v>44</v>
      </c>
      <c r="B61" s="150" t="s">
        <v>466</v>
      </c>
      <c r="C61" s="162"/>
      <c r="D61" s="151">
        <v>171</v>
      </c>
      <c r="E61" s="151">
        <f t="shared" si="1"/>
        <v>10.6</v>
      </c>
      <c r="F61" s="151">
        <v>0</v>
      </c>
    </row>
    <row r="62" spans="1:6" x14ac:dyDescent="0.25">
      <c r="A62" s="81" t="s">
        <v>467</v>
      </c>
      <c r="B62" s="105" t="s">
        <v>432</v>
      </c>
      <c r="C62" s="118"/>
      <c r="D62">
        <v>189</v>
      </c>
      <c r="E62">
        <f t="shared" si="1"/>
        <v>11.5</v>
      </c>
      <c r="F62">
        <v>0</v>
      </c>
    </row>
    <row r="63" spans="1:6" x14ac:dyDescent="0.25">
      <c r="A63" s="81" t="s">
        <v>75</v>
      </c>
      <c r="B63" s="105" t="s">
        <v>468</v>
      </c>
      <c r="C63" s="118"/>
      <c r="D63">
        <v>309</v>
      </c>
      <c r="E63">
        <f t="shared" si="1"/>
        <v>17.5</v>
      </c>
      <c r="F63">
        <v>0</v>
      </c>
    </row>
    <row r="64" spans="1:6" x14ac:dyDescent="0.25">
      <c r="A64" s="81" t="s">
        <v>469</v>
      </c>
      <c r="B64" s="105" t="s">
        <v>426</v>
      </c>
      <c r="C64" s="118"/>
      <c r="D64">
        <v>300</v>
      </c>
      <c r="E64">
        <f t="shared" si="1"/>
        <v>17.100000000000001</v>
      </c>
      <c r="F64">
        <v>0</v>
      </c>
    </row>
    <row r="65" spans="1:6" x14ac:dyDescent="0.25">
      <c r="A65" s="81" t="s">
        <v>470</v>
      </c>
      <c r="B65" s="105" t="s">
        <v>430</v>
      </c>
      <c r="C65" s="118"/>
      <c r="D65">
        <v>258</v>
      </c>
      <c r="E65">
        <f t="shared" si="1"/>
        <v>15</v>
      </c>
      <c r="F65">
        <v>0</v>
      </c>
    </row>
    <row r="66" spans="1:6" x14ac:dyDescent="0.25">
      <c r="A66" s="81" t="s">
        <v>41</v>
      </c>
      <c r="B66" s="105" t="s">
        <v>471</v>
      </c>
      <c r="C66" s="118"/>
      <c r="D66">
        <v>97</v>
      </c>
      <c r="E66">
        <f t="shared" si="1"/>
        <v>6.8999999999999995</v>
      </c>
      <c r="F66">
        <v>0</v>
      </c>
    </row>
    <row r="67" spans="1:6" x14ac:dyDescent="0.25">
      <c r="A67" s="81" t="s">
        <v>472</v>
      </c>
      <c r="B67" s="105" t="s">
        <v>428</v>
      </c>
      <c r="C67" s="118"/>
      <c r="D67">
        <v>129</v>
      </c>
      <c r="E67">
        <f t="shared" si="1"/>
        <v>8.5</v>
      </c>
      <c r="F67">
        <v>0</v>
      </c>
    </row>
    <row r="68" spans="1:6" x14ac:dyDescent="0.25">
      <c r="A68" s="81" t="s">
        <v>55</v>
      </c>
      <c r="B68" s="105" t="s">
        <v>473</v>
      </c>
      <c r="C68" s="118"/>
      <c r="D68">
        <v>302</v>
      </c>
      <c r="E68">
        <f t="shared" si="1"/>
        <v>17.200000000000003</v>
      </c>
      <c r="F68">
        <v>0</v>
      </c>
    </row>
    <row r="69" spans="1:6" x14ac:dyDescent="0.25">
      <c r="A69" s="81" t="s">
        <v>42</v>
      </c>
      <c r="B69" s="105" t="s">
        <v>474</v>
      </c>
      <c r="C69" s="118"/>
      <c r="D69">
        <v>40</v>
      </c>
      <c r="E69">
        <f t="shared" si="1"/>
        <v>4.0999999999999996</v>
      </c>
      <c r="F69">
        <v>0</v>
      </c>
    </row>
    <row r="70" spans="1:6" x14ac:dyDescent="0.25">
      <c r="A70" s="81" t="s">
        <v>43</v>
      </c>
      <c r="B70" s="105" t="s">
        <v>475</v>
      </c>
      <c r="C70" s="118"/>
      <c r="D70">
        <v>39</v>
      </c>
      <c r="E70">
        <f t="shared" si="1"/>
        <v>4</v>
      </c>
      <c r="F70">
        <v>0</v>
      </c>
    </row>
    <row r="71" spans="1:6" x14ac:dyDescent="0.25">
      <c r="A71" s="81" t="s">
        <v>76</v>
      </c>
      <c r="B71" s="105" t="s">
        <v>476</v>
      </c>
      <c r="C71" s="118"/>
      <c r="D71">
        <v>115</v>
      </c>
      <c r="E71">
        <f t="shared" si="1"/>
        <v>7.8</v>
      </c>
      <c r="F71">
        <v>0</v>
      </c>
    </row>
    <row r="72" spans="1:6" x14ac:dyDescent="0.25">
      <c r="A72" s="81" t="s">
        <v>477</v>
      </c>
      <c r="B72" s="105" t="s">
        <v>478</v>
      </c>
      <c r="C72" s="118"/>
      <c r="D72">
        <v>0</v>
      </c>
      <c r="E72" t="str">
        <f t="shared" si="1"/>
        <v/>
      </c>
      <c r="F72">
        <v>0</v>
      </c>
    </row>
    <row r="73" spans="1:6" x14ac:dyDescent="0.25">
      <c r="A73" s="81" t="s">
        <v>479</v>
      </c>
      <c r="B73" s="105" t="s">
        <v>480</v>
      </c>
      <c r="C73" s="118"/>
      <c r="D73">
        <v>0</v>
      </c>
      <c r="E73" t="str">
        <f t="shared" si="1"/>
        <v/>
      </c>
      <c r="F73">
        <v>0</v>
      </c>
    </row>
    <row r="74" spans="1:6" x14ac:dyDescent="0.25">
      <c r="A74" s="81" t="s">
        <v>481</v>
      </c>
      <c r="B74" s="105" t="s">
        <v>482</v>
      </c>
      <c r="C74" s="118"/>
      <c r="D74">
        <v>0</v>
      </c>
      <c r="E74" t="str">
        <f t="shared" si="1"/>
        <v/>
      </c>
      <c r="F74">
        <v>0</v>
      </c>
    </row>
    <row r="75" spans="1:6" x14ac:dyDescent="0.25">
      <c r="A75" s="81" t="s">
        <v>483</v>
      </c>
      <c r="B75" s="105" t="s">
        <v>484</v>
      </c>
      <c r="C75" s="118"/>
      <c r="D75">
        <v>64</v>
      </c>
      <c r="E75">
        <f t="shared" si="1"/>
        <v>5.3</v>
      </c>
      <c r="F75">
        <v>0</v>
      </c>
    </row>
    <row r="76" spans="1:6" x14ac:dyDescent="0.25">
      <c r="A76" s="81" t="s">
        <v>485</v>
      </c>
      <c r="B76" s="105" t="s">
        <v>484</v>
      </c>
      <c r="C76" s="118"/>
      <c r="D76">
        <v>15</v>
      </c>
      <c r="E76">
        <f t="shared" si="1"/>
        <v>2.8000000000000003</v>
      </c>
      <c r="F76">
        <v>0</v>
      </c>
    </row>
    <row r="77" spans="1:6" x14ac:dyDescent="0.25">
      <c r="A77" s="81" t="s">
        <v>486</v>
      </c>
      <c r="B77" s="105" t="s">
        <v>487</v>
      </c>
      <c r="C77" s="118"/>
      <c r="D77">
        <v>18</v>
      </c>
      <c r="E77">
        <f t="shared" ref="E77:E140" si="2">IF(D77&gt;0,ROUNDUP(((35+(D77*0.8625))/17.25),1),"")</f>
        <v>3</v>
      </c>
      <c r="F77">
        <v>0</v>
      </c>
    </row>
    <row r="78" spans="1:6" x14ac:dyDescent="0.25">
      <c r="A78" s="81" t="s">
        <v>488</v>
      </c>
      <c r="B78" s="105" t="s">
        <v>489</v>
      </c>
      <c r="C78" s="118"/>
      <c r="D78">
        <v>2</v>
      </c>
      <c r="E78">
        <f t="shared" si="2"/>
        <v>2.2000000000000002</v>
      </c>
      <c r="F78">
        <v>0</v>
      </c>
    </row>
    <row r="79" spans="1:6" x14ac:dyDescent="0.25">
      <c r="A79" s="81" t="s">
        <v>490</v>
      </c>
      <c r="B79" s="105" t="s">
        <v>491</v>
      </c>
      <c r="C79" s="118"/>
      <c r="D79">
        <v>0</v>
      </c>
      <c r="E79" t="str">
        <f t="shared" si="2"/>
        <v/>
      </c>
      <c r="F79">
        <v>0</v>
      </c>
    </row>
    <row r="80" spans="1:6" x14ac:dyDescent="0.25">
      <c r="A80" s="81" t="s">
        <v>492</v>
      </c>
      <c r="B80" s="105" t="s">
        <v>491</v>
      </c>
      <c r="C80" s="118"/>
      <c r="D80">
        <v>0</v>
      </c>
      <c r="E80" t="str">
        <f t="shared" si="2"/>
        <v/>
      </c>
      <c r="F80">
        <v>0</v>
      </c>
    </row>
    <row r="81" spans="1:6" x14ac:dyDescent="0.25">
      <c r="A81" s="81" t="s">
        <v>493</v>
      </c>
      <c r="B81" s="105" t="s">
        <v>489</v>
      </c>
      <c r="C81" s="118"/>
      <c r="D81">
        <v>0</v>
      </c>
      <c r="E81" t="str">
        <f t="shared" si="2"/>
        <v/>
      </c>
      <c r="F81">
        <v>0</v>
      </c>
    </row>
    <row r="82" spans="1:6" x14ac:dyDescent="0.25">
      <c r="A82" s="81" t="s">
        <v>494</v>
      </c>
      <c r="B82" s="105" t="s">
        <v>489</v>
      </c>
      <c r="C82" s="118"/>
      <c r="D82">
        <v>0</v>
      </c>
      <c r="E82" t="str">
        <f t="shared" si="2"/>
        <v/>
      </c>
      <c r="F82">
        <v>0</v>
      </c>
    </row>
    <row r="83" spans="1:6" x14ac:dyDescent="0.25">
      <c r="A83" s="81" t="s">
        <v>495</v>
      </c>
      <c r="B83" s="105" t="s">
        <v>496</v>
      </c>
      <c r="C83" s="118"/>
      <c r="D83">
        <v>0</v>
      </c>
      <c r="E83" t="str">
        <f t="shared" si="2"/>
        <v/>
      </c>
      <c r="F83">
        <v>0</v>
      </c>
    </row>
    <row r="84" spans="1:6" x14ac:dyDescent="0.25">
      <c r="A84" s="81" t="s">
        <v>497</v>
      </c>
      <c r="B84" s="105" t="s">
        <v>496</v>
      </c>
      <c r="C84" s="118"/>
      <c r="D84">
        <v>0</v>
      </c>
      <c r="E84" t="str">
        <f t="shared" si="2"/>
        <v/>
      </c>
      <c r="F84">
        <v>0</v>
      </c>
    </row>
    <row r="85" spans="1:6" x14ac:dyDescent="0.25">
      <c r="A85" s="81" t="s">
        <v>498</v>
      </c>
      <c r="B85" s="105" t="s">
        <v>499</v>
      </c>
      <c r="C85" s="118"/>
      <c r="D85">
        <v>0</v>
      </c>
      <c r="E85" t="str">
        <f t="shared" si="2"/>
        <v/>
      </c>
      <c r="F85">
        <v>0</v>
      </c>
    </row>
    <row r="86" spans="1:6" x14ac:dyDescent="0.25">
      <c r="A86" s="81" t="s">
        <v>500</v>
      </c>
      <c r="B86" s="105" t="s">
        <v>499</v>
      </c>
      <c r="C86" s="118"/>
      <c r="D86">
        <v>0</v>
      </c>
      <c r="E86" t="str">
        <f t="shared" si="2"/>
        <v/>
      </c>
      <c r="F86">
        <v>0</v>
      </c>
    </row>
    <row r="87" spans="1:6" x14ac:dyDescent="0.25">
      <c r="A87" s="81" t="s">
        <v>501</v>
      </c>
      <c r="B87" s="105" t="s">
        <v>502</v>
      </c>
      <c r="C87" s="118"/>
      <c r="D87">
        <v>0</v>
      </c>
      <c r="E87" t="str">
        <f t="shared" si="2"/>
        <v/>
      </c>
      <c r="F87">
        <v>0</v>
      </c>
    </row>
    <row r="88" spans="1:6" x14ac:dyDescent="0.25">
      <c r="A88" s="81" t="s">
        <v>503</v>
      </c>
      <c r="B88" s="105" t="s">
        <v>502</v>
      </c>
      <c r="C88" s="118"/>
      <c r="D88">
        <v>0</v>
      </c>
      <c r="E88" t="str">
        <f t="shared" si="2"/>
        <v/>
      </c>
      <c r="F88">
        <v>0</v>
      </c>
    </row>
    <row r="89" spans="1:6" s="151" customFormat="1" x14ac:dyDescent="0.25">
      <c r="A89" s="160" t="s">
        <v>89</v>
      </c>
      <c r="B89" s="150" t="s">
        <v>504</v>
      </c>
      <c r="C89" s="162"/>
      <c r="D89" s="151">
        <v>961</v>
      </c>
      <c r="E89" s="151">
        <f t="shared" si="2"/>
        <v>50.1</v>
      </c>
      <c r="F89" s="151">
        <v>0</v>
      </c>
    </row>
    <row r="90" spans="1:6" x14ac:dyDescent="0.25">
      <c r="A90" s="81" t="s">
        <v>95</v>
      </c>
      <c r="B90" s="105" t="s">
        <v>505</v>
      </c>
      <c r="C90" s="118"/>
      <c r="D90">
        <v>868</v>
      </c>
      <c r="E90">
        <f t="shared" si="2"/>
        <v>45.5</v>
      </c>
      <c r="F90">
        <v>0</v>
      </c>
    </row>
    <row r="91" spans="1:6" x14ac:dyDescent="0.25">
      <c r="A91" s="81" t="s">
        <v>101</v>
      </c>
      <c r="B91" s="105" t="s">
        <v>506</v>
      </c>
      <c r="C91" s="118"/>
      <c r="D91">
        <v>27</v>
      </c>
      <c r="E91">
        <f t="shared" si="2"/>
        <v>3.4</v>
      </c>
      <c r="F91">
        <v>0</v>
      </c>
    </row>
    <row r="92" spans="1:6" x14ac:dyDescent="0.25">
      <c r="A92" s="81" t="s">
        <v>103</v>
      </c>
      <c r="B92" s="105" t="s">
        <v>507</v>
      </c>
      <c r="C92" s="118"/>
      <c r="D92">
        <v>50</v>
      </c>
      <c r="E92">
        <f t="shared" si="2"/>
        <v>4.5999999999999996</v>
      </c>
      <c r="F92">
        <v>0</v>
      </c>
    </row>
    <row r="93" spans="1:6" x14ac:dyDescent="0.25">
      <c r="A93" s="81" t="s">
        <v>508</v>
      </c>
      <c r="B93" s="105" t="s">
        <v>509</v>
      </c>
      <c r="C93" s="118"/>
      <c r="D93">
        <v>176</v>
      </c>
      <c r="E93">
        <f t="shared" si="2"/>
        <v>10.9</v>
      </c>
      <c r="F93">
        <v>0</v>
      </c>
    </row>
    <row r="94" spans="1:6" s="151" customFormat="1" x14ac:dyDescent="0.25">
      <c r="A94" s="160" t="s">
        <v>104</v>
      </c>
      <c r="B94" s="150" t="s">
        <v>510</v>
      </c>
      <c r="C94" s="162"/>
      <c r="D94" s="151">
        <v>647</v>
      </c>
      <c r="E94" s="151">
        <f t="shared" si="2"/>
        <v>34.4</v>
      </c>
      <c r="F94" s="151">
        <v>0</v>
      </c>
    </row>
    <row r="95" spans="1:6" s="151" customFormat="1" x14ac:dyDescent="0.25">
      <c r="A95" s="160" t="s">
        <v>107</v>
      </c>
      <c r="B95" s="150" t="s">
        <v>511</v>
      </c>
      <c r="C95" s="162"/>
      <c r="D95" s="151">
        <v>637</v>
      </c>
      <c r="E95" s="151">
        <f t="shared" si="2"/>
        <v>33.9</v>
      </c>
      <c r="F95" s="151">
        <v>0</v>
      </c>
    </row>
    <row r="96" spans="1:6" s="151" customFormat="1" x14ac:dyDescent="0.25">
      <c r="A96" s="160" t="s">
        <v>109</v>
      </c>
      <c r="B96" s="150" t="s">
        <v>512</v>
      </c>
      <c r="C96" s="162"/>
      <c r="D96" s="151">
        <v>577</v>
      </c>
      <c r="E96" s="151">
        <f t="shared" si="2"/>
        <v>30.900000000000002</v>
      </c>
      <c r="F96" s="151">
        <v>0</v>
      </c>
    </row>
    <row r="97" spans="1:6" x14ac:dyDescent="0.25">
      <c r="A97" s="81" t="s">
        <v>110</v>
      </c>
      <c r="B97" s="105" t="s">
        <v>513</v>
      </c>
      <c r="C97" s="118"/>
      <c r="D97">
        <v>78</v>
      </c>
      <c r="E97">
        <f t="shared" si="2"/>
        <v>6</v>
      </c>
      <c r="F97">
        <v>0</v>
      </c>
    </row>
    <row r="98" spans="1:6" x14ac:dyDescent="0.25">
      <c r="A98" s="81" t="s">
        <v>94</v>
      </c>
      <c r="B98" s="105" t="s">
        <v>514</v>
      </c>
      <c r="C98" s="118"/>
      <c r="D98">
        <v>43</v>
      </c>
      <c r="E98">
        <f t="shared" si="2"/>
        <v>4.1999999999999993</v>
      </c>
      <c r="F98">
        <v>0</v>
      </c>
    </row>
    <row r="99" spans="1:6" x14ac:dyDescent="0.25">
      <c r="A99" s="81" t="s">
        <v>99</v>
      </c>
      <c r="B99" s="105" t="s">
        <v>515</v>
      </c>
      <c r="C99" s="118"/>
      <c r="D99">
        <v>87</v>
      </c>
      <c r="E99">
        <f t="shared" si="2"/>
        <v>6.3999999999999995</v>
      </c>
      <c r="F99">
        <v>0</v>
      </c>
    </row>
    <row r="100" spans="1:6" x14ac:dyDescent="0.25">
      <c r="A100" s="81" t="s">
        <v>111</v>
      </c>
      <c r="B100" s="105" t="s">
        <v>516</v>
      </c>
      <c r="C100" s="118"/>
      <c r="D100">
        <v>32</v>
      </c>
      <c r="E100">
        <f t="shared" si="2"/>
        <v>3.7</v>
      </c>
      <c r="F100">
        <v>0</v>
      </c>
    </row>
    <row r="101" spans="1:6" x14ac:dyDescent="0.25">
      <c r="A101" s="81" t="s">
        <v>97</v>
      </c>
      <c r="B101" s="105" t="s">
        <v>517</v>
      </c>
      <c r="C101" s="118"/>
      <c r="D101">
        <v>89</v>
      </c>
      <c r="E101">
        <f t="shared" si="2"/>
        <v>6.5</v>
      </c>
      <c r="F101">
        <v>0</v>
      </c>
    </row>
    <row r="102" spans="1:6" x14ac:dyDescent="0.25">
      <c r="A102" s="81" t="s">
        <v>93</v>
      </c>
      <c r="B102" s="105" t="s">
        <v>518</v>
      </c>
      <c r="C102" s="118"/>
      <c r="D102">
        <v>38</v>
      </c>
      <c r="E102">
        <f t="shared" si="2"/>
        <v>4</v>
      </c>
      <c r="F102">
        <v>0</v>
      </c>
    </row>
    <row r="103" spans="1:6" x14ac:dyDescent="0.25">
      <c r="A103" s="81" t="s">
        <v>100</v>
      </c>
      <c r="B103" s="105" t="s">
        <v>519</v>
      </c>
      <c r="C103" s="118"/>
      <c r="D103">
        <v>33</v>
      </c>
      <c r="E103">
        <f t="shared" si="2"/>
        <v>3.7</v>
      </c>
      <c r="F103">
        <v>0</v>
      </c>
    </row>
    <row r="104" spans="1:6" x14ac:dyDescent="0.25">
      <c r="A104" s="81" t="s">
        <v>112</v>
      </c>
      <c r="B104" s="105" t="s">
        <v>520</v>
      </c>
      <c r="C104" s="118"/>
      <c r="D104">
        <v>32</v>
      </c>
      <c r="E104">
        <f t="shared" si="2"/>
        <v>3.7</v>
      </c>
      <c r="F104">
        <v>0</v>
      </c>
    </row>
    <row r="105" spans="1:6" x14ac:dyDescent="0.25">
      <c r="A105" s="81" t="s">
        <v>98</v>
      </c>
      <c r="B105" s="105" t="s">
        <v>521</v>
      </c>
      <c r="C105" s="118"/>
      <c r="D105">
        <v>263</v>
      </c>
      <c r="E105">
        <f t="shared" si="2"/>
        <v>15.2</v>
      </c>
      <c r="F105">
        <v>0</v>
      </c>
    </row>
    <row r="106" spans="1:6" x14ac:dyDescent="0.25">
      <c r="A106" s="81" t="s">
        <v>106</v>
      </c>
      <c r="B106" s="105" t="s">
        <v>522</v>
      </c>
      <c r="C106" s="118"/>
      <c r="D106">
        <v>27</v>
      </c>
      <c r="E106">
        <f t="shared" si="2"/>
        <v>3.4</v>
      </c>
      <c r="F106">
        <v>0</v>
      </c>
    </row>
    <row r="107" spans="1:6" x14ac:dyDescent="0.25">
      <c r="A107" s="81" t="s">
        <v>96</v>
      </c>
      <c r="B107" s="105" t="s">
        <v>523</v>
      </c>
      <c r="C107" s="118"/>
      <c r="D107">
        <v>29</v>
      </c>
      <c r="E107">
        <f t="shared" si="2"/>
        <v>3.5</v>
      </c>
      <c r="F107">
        <v>0</v>
      </c>
    </row>
    <row r="108" spans="1:6" x14ac:dyDescent="0.25">
      <c r="A108" s="81" t="s">
        <v>113</v>
      </c>
      <c r="B108" s="105" t="s">
        <v>524</v>
      </c>
      <c r="C108" s="118"/>
      <c r="D108">
        <v>17</v>
      </c>
      <c r="E108">
        <f t="shared" si="2"/>
        <v>2.9</v>
      </c>
      <c r="F108">
        <v>0</v>
      </c>
    </row>
    <row r="109" spans="1:6" x14ac:dyDescent="0.25">
      <c r="A109" s="81" t="s">
        <v>90</v>
      </c>
      <c r="B109" s="105" t="s">
        <v>525</v>
      </c>
      <c r="C109" s="118"/>
      <c r="D109">
        <v>26</v>
      </c>
      <c r="E109">
        <f t="shared" si="2"/>
        <v>3.4</v>
      </c>
      <c r="F109">
        <v>0</v>
      </c>
    </row>
    <row r="110" spans="1:6" x14ac:dyDescent="0.25">
      <c r="A110" s="81" t="s">
        <v>114</v>
      </c>
      <c r="B110" s="105" t="s">
        <v>526</v>
      </c>
      <c r="C110" s="118"/>
      <c r="D110">
        <v>9</v>
      </c>
      <c r="E110">
        <f t="shared" si="2"/>
        <v>2.5</v>
      </c>
      <c r="F110">
        <v>0</v>
      </c>
    </row>
    <row r="111" spans="1:6" s="151" customFormat="1" x14ac:dyDescent="0.25">
      <c r="A111" s="160" t="s">
        <v>105</v>
      </c>
      <c r="B111" s="150" t="s">
        <v>527</v>
      </c>
      <c r="C111" s="162"/>
      <c r="D111" s="151">
        <v>14</v>
      </c>
      <c r="E111" s="151">
        <f t="shared" si="2"/>
        <v>2.8000000000000003</v>
      </c>
      <c r="F111" s="151">
        <v>21.5</v>
      </c>
    </row>
    <row r="112" spans="1:6" s="151" customFormat="1" x14ac:dyDescent="0.25">
      <c r="A112" s="160" t="s">
        <v>91</v>
      </c>
      <c r="B112" s="150" t="s">
        <v>528</v>
      </c>
      <c r="C112" s="162"/>
      <c r="D112" s="151">
        <v>11</v>
      </c>
      <c r="E112" s="151">
        <f t="shared" si="2"/>
        <v>2.6</v>
      </c>
      <c r="F112" s="151">
        <v>21.5</v>
      </c>
    </row>
    <row r="113" spans="1:6" x14ac:dyDescent="0.25">
      <c r="A113" s="81" t="s">
        <v>529</v>
      </c>
      <c r="B113" s="105" t="s">
        <v>530</v>
      </c>
      <c r="C113" s="118"/>
      <c r="D113">
        <v>4</v>
      </c>
      <c r="E113">
        <f t="shared" si="2"/>
        <v>2.3000000000000003</v>
      </c>
      <c r="F113">
        <v>0</v>
      </c>
    </row>
    <row r="114" spans="1:6" x14ac:dyDescent="0.25">
      <c r="A114" s="81" t="s">
        <v>531</v>
      </c>
      <c r="B114" s="105" t="s">
        <v>532</v>
      </c>
      <c r="C114" s="118"/>
      <c r="D114">
        <v>2</v>
      </c>
      <c r="E114">
        <f t="shared" si="2"/>
        <v>2.2000000000000002</v>
      </c>
      <c r="F114">
        <v>0</v>
      </c>
    </row>
    <row r="115" spans="1:6" x14ac:dyDescent="0.25">
      <c r="A115" s="81" t="s">
        <v>116</v>
      </c>
      <c r="B115" s="105" t="s">
        <v>533</v>
      </c>
      <c r="C115" s="118"/>
      <c r="D115">
        <v>4</v>
      </c>
      <c r="E115">
        <f t="shared" si="2"/>
        <v>2.3000000000000003</v>
      </c>
      <c r="F115">
        <v>0</v>
      </c>
    </row>
    <row r="116" spans="1:6" s="151" customFormat="1" x14ac:dyDescent="0.25">
      <c r="A116" s="160" t="s">
        <v>117</v>
      </c>
      <c r="B116" s="150" t="s">
        <v>534</v>
      </c>
      <c r="C116" s="162"/>
      <c r="D116" s="151">
        <v>3</v>
      </c>
      <c r="E116" s="151">
        <f t="shared" si="2"/>
        <v>2.2000000000000002</v>
      </c>
      <c r="F116" s="151">
        <v>0</v>
      </c>
    </row>
    <row r="117" spans="1:6" x14ac:dyDescent="0.25">
      <c r="A117" s="81" t="s">
        <v>118</v>
      </c>
      <c r="B117" s="105" t="s">
        <v>535</v>
      </c>
      <c r="C117" s="118"/>
      <c r="D117">
        <v>3</v>
      </c>
      <c r="E117">
        <f t="shared" si="2"/>
        <v>2.2000000000000002</v>
      </c>
      <c r="F117">
        <v>0</v>
      </c>
    </row>
    <row r="118" spans="1:6" x14ac:dyDescent="0.25">
      <c r="A118" s="81" t="s">
        <v>92</v>
      </c>
      <c r="B118" s="105" t="s">
        <v>507</v>
      </c>
      <c r="C118" s="118"/>
      <c r="D118">
        <v>5</v>
      </c>
      <c r="E118">
        <f t="shared" si="2"/>
        <v>2.3000000000000003</v>
      </c>
      <c r="F118">
        <v>0</v>
      </c>
    </row>
    <row r="119" spans="1:6" x14ac:dyDescent="0.25">
      <c r="A119" s="81" t="s">
        <v>102</v>
      </c>
      <c r="B119" s="105" t="s">
        <v>536</v>
      </c>
      <c r="C119" s="118"/>
      <c r="D119">
        <v>8</v>
      </c>
      <c r="E119">
        <f t="shared" si="2"/>
        <v>2.5</v>
      </c>
      <c r="F119">
        <v>0</v>
      </c>
    </row>
    <row r="120" spans="1:6" x14ac:dyDescent="0.25">
      <c r="A120" s="81" t="s">
        <v>108</v>
      </c>
      <c r="B120" s="105" t="s">
        <v>537</v>
      </c>
      <c r="C120" s="118"/>
      <c r="D120">
        <v>4</v>
      </c>
      <c r="E120">
        <f t="shared" si="2"/>
        <v>2.3000000000000003</v>
      </c>
      <c r="F120">
        <v>0</v>
      </c>
    </row>
    <row r="121" spans="1:6" x14ac:dyDescent="0.25">
      <c r="A121" s="81" t="s">
        <v>538</v>
      </c>
      <c r="B121" s="105" t="s">
        <v>539</v>
      </c>
      <c r="C121" s="118"/>
      <c r="D121">
        <v>14</v>
      </c>
      <c r="E121">
        <f t="shared" si="2"/>
        <v>2.8000000000000003</v>
      </c>
      <c r="F121">
        <v>0</v>
      </c>
    </row>
    <row r="122" spans="1:6" x14ac:dyDescent="0.25">
      <c r="A122" s="81" t="s">
        <v>540</v>
      </c>
      <c r="B122" s="105" t="s">
        <v>541</v>
      </c>
      <c r="C122" s="118"/>
      <c r="D122">
        <v>10</v>
      </c>
      <c r="E122">
        <f t="shared" si="2"/>
        <v>2.6</v>
      </c>
      <c r="F122">
        <v>0</v>
      </c>
    </row>
    <row r="123" spans="1:6" x14ac:dyDescent="0.25">
      <c r="A123" s="81" t="s">
        <v>542</v>
      </c>
      <c r="B123" s="105" t="s">
        <v>543</v>
      </c>
      <c r="C123" s="118"/>
      <c r="D123">
        <v>0</v>
      </c>
      <c r="E123" t="str">
        <f t="shared" si="2"/>
        <v/>
      </c>
      <c r="F123">
        <v>0</v>
      </c>
    </row>
    <row r="124" spans="1:6" x14ac:dyDescent="0.25">
      <c r="A124" s="81" t="s">
        <v>544</v>
      </c>
      <c r="B124" s="105" t="s">
        <v>543</v>
      </c>
      <c r="C124" s="118"/>
      <c r="D124">
        <v>0</v>
      </c>
      <c r="E124" t="str">
        <f t="shared" si="2"/>
        <v/>
      </c>
      <c r="F124">
        <v>0</v>
      </c>
    </row>
    <row r="125" spans="1:6" x14ac:dyDescent="0.25">
      <c r="A125" s="81" t="s">
        <v>545</v>
      </c>
      <c r="B125" s="105" t="s">
        <v>546</v>
      </c>
      <c r="C125" s="118"/>
      <c r="D125">
        <v>0</v>
      </c>
      <c r="E125" t="str">
        <f t="shared" si="2"/>
        <v/>
      </c>
      <c r="F125">
        <v>0</v>
      </c>
    </row>
    <row r="126" spans="1:6" x14ac:dyDescent="0.25">
      <c r="A126" s="81" t="s">
        <v>547</v>
      </c>
      <c r="B126" s="105" t="s">
        <v>546</v>
      </c>
      <c r="C126" s="118"/>
      <c r="D126">
        <v>0</v>
      </c>
      <c r="E126" t="str">
        <f t="shared" si="2"/>
        <v/>
      </c>
      <c r="F126">
        <v>0</v>
      </c>
    </row>
    <row r="127" spans="1:6" x14ac:dyDescent="0.25">
      <c r="A127" s="81" t="s">
        <v>548</v>
      </c>
      <c r="B127" s="105" t="s">
        <v>549</v>
      </c>
      <c r="C127" s="118"/>
      <c r="D127">
        <v>0</v>
      </c>
      <c r="E127" t="str">
        <f t="shared" si="2"/>
        <v/>
      </c>
      <c r="F127">
        <v>0</v>
      </c>
    </row>
    <row r="128" spans="1:6" x14ac:dyDescent="0.25">
      <c r="A128" s="81" t="s">
        <v>550</v>
      </c>
      <c r="B128" s="105" t="s">
        <v>551</v>
      </c>
      <c r="C128" s="118"/>
      <c r="D128">
        <v>42</v>
      </c>
      <c r="E128">
        <f t="shared" si="2"/>
        <v>4.1999999999999993</v>
      </c>
      <c r="F128">
        <v>0</v>
      </c>
    </row>
    <row r="129" spans="1:6" x14ac:dyDescent="0.25">
      <c r="A129" s="81" t="s">
        <v>552</v>
      </c>
      <c r="B129" s="105" t="s">
        <v>551</v>
      </c>
      <c r="C129" s="118"/>
      <c r="D129">
        <v>2</v>
      </c>
      <c r="E129">
        <f t="shared" si="2"/>
        <v>2.2000000000000002</v>
      </c>
      <c r="F129">
        <v>0</v>
      </c>
    </row>
    <row r="130" spans="1:6" x14ac:dyDescent="0.25">
      <c r="A130" s="81" t="s">
        <v>553</v>
      </c>
      <c r="B130" s="105" t="s">
        <v>554</v>
      </c>
      <c r="C130" s="118"/>
      <c r="D130">
        <v>0</v>
      </c>
      <c r="E130" t="str">
        <f t="shared" si="2"/>
        <v/>
      </c>
      <c r="F130">
        <v>0</v>
      </c>
    </row>
    <row r="131" spans="1:6" x14ac:dyDescent="0.25">
      <c r="A131" s="81" t="s">
        <v>555</v>
      </c>
      <c r="B131" s="105" t="s">
        <v>556</v>
      </c>
      <c r="C131" s="118"/>
      <c r="D131">
        <v>0</v>
      </c>
      <c r="E131" t="str">
        <f t="shared" si="2"/>
        <v/>
      </c>
      <c r="F131">
        <v>0</v>
      </c>
    </row>
    <row r="132" spans="1:6" x14ac:dyDescent="0.25">
      <c r="A132" s="81" t="s">
        <v>557</v>
      </c>
      <c r="B132" s="105" t="s">
        <v>554</v>
      </c>
      <c r="C132" s="118"/>
      <c r="D132">
        <v>0</v>
      </c>
      <c r="E132" t="str">
        <f t="shared" si="2"/>
        <v/>
      </c>
      <c r="F132">
        <v>0</v>
      </c>
    </row>
    <row r="133" spans="1:6" x14ac:dyDescent="0.25">
      <c r="A133" s="81" t="s">
        <v>558</v>
      </c>
      <c r="B133" s="105" t="s">
        <v>556</v>
      </c>
      <c r="C133" s="118"/>
      <c r="D133">
        <v>0</v>
      </c>
      <c r="E133" t="str">
        <f t="shared" si="2"/>
        <v/>
      </c>
      <c r="F133">
        <v>0</v>
      </c>
    </row>
    <row r="134" spans="1:6" x14ac:dyDescent="0.25">
      <c r="A134" s="81" t="s">
        <v>559</v>
      </c>
      <c r="B134" s="105" t="s">
        <v>560</v>
      </c>
      <c r="C134" s="118"/>
      <c r="D134">
        <v>0</v>
      </c>
      <c r="E134" t="str">
        <f t="shared" si="2"/>
        <v/>
      </c>
      <c r="F134">
        <v>0</v>
      </c>
    </row>
    <row r="135" spans="1:6" x14ac:dyDescent="0.25">
      <c r="A135" s="81" t="s">
        <v>561</v>
      </c>
      <c r="B135" s="105" t="s">
        <v>560</v>
      </c>
      <c r="C135" s="118"/>
      <c r="D135">
        <v>0</v>
      </c>
      <c r="E135" t="str">
        <f t="shared" si="2"/>
        <v/>
      </c>
      <c r="F135">
        <v>0</v>
      </c>
    </row>
    <row r="136" spans="1:6" x14ac:dyDescent="0.25">
      <c r="A136" s="81" t="s">
        <v>562</v>
      </c>
      <c r="B136" s="105" t="s">
        <v>563</v>
      </c>
      <c r="C136" s="118"/>
      <c r="D136">
        <v>0</v>
      </c>
      <c r="E136" t="str">
        <f t="shared" si="2"/>
        <v/>
      </c>
      <c r="F136">
        <v>0</v>
      </c>
    </row>
    <row r="137" spans="1:6" x14ac:dyDescent="0.25">
      <c r="A137" s="81" t="s">
        <v>564</v>
      </c>
      <c r="B137" s="105" t="s">
        <v>563</v>
      </c>
      <c r="C137" s="118"/>
      <c r="D137">
        <v>0</v>
      </c>
      <c r="E137" t="str">
        <f t="shared" si="2"/>
        <v/>
      </c>
      <c r="F137">
        <v>0</v>
      </c>
    </row>
    <row r="138" spans="1:6" x14ac:dyDescent="0.25">
      <c r="A138" s="81" t="s">
        <v>145</v>
      </c>
      <c r="B138" s="105" t="s">
        <v>565</v>
      </c>
      <c r="C138" s="118"/>
      <c r="D138">
        <v>850</v>
      </c>
      <c r="E138">
        <f t="shared" si="2"/>
        <v>44.6</v>
      </c>
      <c r="F138">
        <v>0</v>
      </c>
    </row>
    <row r="139" spans="1:6" s="151" customFormat="1" x14ac:dyDescent="0.25">
      <c r="A139" s="160" t="s">
        <v>146</v>
      </c>
      <c r="B139" s="150" t="s">
        <v>566</v>
      </c>
      <c r="C139" s="162"/>
      <c r="D139" s="151">
        <v>76</v>
      </c>
      <c r="E139" s="151">
        <f t="shared" si="2"/>
        <v>5.8999999999999995</v>
      </c>
      <c r="F139" s="151">
        <v>0</v>
      </c>
    </row>
    <row r="140" spans="1:6" x14ac:dyDescent="0.25">
      <c r="A140" s="81" t="s">
        <v>154</v>
      </c>
      <c r="B140" s="105" t="s">
        <v>567</v>
      </c>
      <c r="C140" s="118"/>
      <c r="D140">
        <v>52</v>
      </c>
      <c r="E140">
        <f t="shared" si="2"/>
        <v>4.6999999999999993</v>
      </c>
      <c r="F140">
        <v>0</v>
      </c>
    </row>
    <row r="141" spans="1:6" s="151" customFormat="1" x14ac:dyDescent="0.25">
      <c r="A141" s="160" t="s">
        <v>155</v>
      </c>
      <c r="B141" s="150" t="s">
        <v>568</v>
      </c>
      <c r="C141" s="162"/>
      <c r="D141" s="151">
        <v>295</v>
      </c>
      <c r="E141" s="151">
        <f t="shared" ref="E141:E204" si="3">IF(D141&gt;0,ROUNDUP(((35+(D141*0.8625))/17.25),1),"")</f>
        <v>16.8</v>
      </c>
      <c r="F141" s="151">
        <v>0</v>
      </c>
    </row>
    <row r="142" spans="1:6" x14ac:dyDescent="0.25">
      <c r="A142" s="81" t="s">
        <v>147</v>
      </c>
      <c r="B142" s="105" t="s">
        <v>569</v>
      </c>
      <c r="C142" s="118"/>
      <c r="D142">
        <v>35</v>
      </c>
      <c r="E142">
        <f t="shared" si="3"/>
        <v>3.8000000000000003</v>
      </c>
      <c r="F142">
        <v>0</v>
      </c>
    </row>
    <row r="143" spans="1:6" x14ac:dyDescent="0.25">
      <c r="A143" s="81" t="s">
        <v>128</v>
      </c>
      <c r="B143" s="105" t="s">
        <v>570</v>
      </c>
      <c r="C143" s="118"/>
      <c r="D143">
        <v>33</v>
      </c>
      <c r="E143">
        <f t="shared" si="3"/>
        <v>3.7</v>
      </c>
      <c r="F143">
        <v>0</v>
      </c>
    </row>
    <row r="144" spans="1:6" x14ac:dyDescent="0.25">
      <c r="A144" s="81" t="s">
        <v>150</v>
      </c>
      <c r="B144" s="105" t="s">
        <v>571</v>
      </c>
      <c r="C144" s="118"/>
      <c r="D144">
        <v>100</v>
      </c>
      <c r="E144">
        <f t="shared" si="3"/>
        <v>7.1</v>
      </c>
      <c r="F144">
        <v>0</v>
      </c>
    </row>
    <row r="145" spans="1:6" x14ac:dyDescent="0.25">
      <c r="A145" s="81" t="s">
        <v>151</v>
      </c>
      <c r="B145" s="105" t="s">
        <v>572</v>
      </c>
      <c r="C145" s="118"/>
      <c r="D145">
        <v>97</v>
      </c>
      <c r="E145">
        <f t="shared" si="3"/>
        <v>6.8999999999999995</v>
      </c>
      <c r="F145">
        <v>0</v>
      </c>
    </row>
    <row r="146" spans="1:6" x14ac:dyDescent="0.25">
      <c r="A146" s="81" t="s">
        <v>152</v>
      </c>
      <c r="B146" s="105" t="s">
        <v>573</v>
      </c>
      <c r="C146" s="118"/>
      <c r="D146">
        <v>86</v>
      </c>
      <c r="E146">
        <f t="shared" si="3"/>
        <v>6.3999999999999995</v>
      </c>
      <c r="F146">
        <v>0</v>
      </c>
    </row>
    <row r="147" spans="1:6" x14ac:dyDescent="0.25">
      <c r="A147" s="81" t="s">
        <v>574</v>
      </c>
      <c r="B147" s="105" t="s">
        <v>575</v>
      </c>
      <c r="C147" s="118"/>
      <c r="D147">
        <v>9</v>
      </c>
      <c r="E147">
        <f t="shared" si="3"/>
        <v>2.5</v>
      </c>
      <c r="F147">
        <v>0</v>
      </c>
    </row>
    <row r="148" spans="1:6" x14ac:dyDescent="0.25">
      <c r="A148" s="81" t="s">
        <v>165</v>
      </c>
      <c r="B148" s="105" t="s">
        <v>576</v>
      </c>
      <c r="C148" s="118"/>
      <c r="D148">
        <v>38</v>
      </c>
      <c r="E148">
        <f t="shared" si="3"/>
        <v>4</v>
      </c>
      <c r="F148">
        <v>0</v>
      </c>
    </row>
    <row r="149" spans="1:6" x14ac:dyDescent="0.25">
      <c r="A149" s="81" t="s">
        <v>169</v>
      </c>
      <c r="B149" s="105" t="s">
        <v>577</v>
      </c>
      <c r="C149" s="118"/>
      <c r="D149">
        <v>79</v>
      </c>
      <c r="E149">
        <f t="shared" si="3"/>
        <v>6</v>
      </c>
      <c r="F149">
        <v>0</v>
      </c>
    </row>
    <row r="150" spans="1:6" x14ac:dyDescent="0.25">
      <c r="A150" s="81" t="s">
        <v>153</v>
      </c>
      <c r="B150" s="105" t="s">
        <v>578</v>
      </c>
      <c r="C150" s="118"/>
      <c r="D150">
        <v>54</v>
      </c>
      <c r="E150">
        <f t="shared" si="3"/>
        <v>4.8</v>
      </c>
      <c r="F150">
        <v>0</v>
      </c>
    </row>
    <row r="151" spans="1:6" x14ac:dyDescent="0.25">
      <c r="A151" s="81" t="s">
        <v>166</v>
      </c>
      <c r="B151" s="105" t="s">
        <v>579</v>
      </c>
      <c r="C151" s="118"/>
      <c r="D151">
        <v>28</v>
      </c>
      <c r="E151">
        <f t="shared" si="3"/>
        <v>3.5</v>
      </c>
      <c r="F151">
        <v>0</v>
      </c>
    </row>
    <row r="152" spans="1:6" x14ac:dyDescent="0.25">
      <c r="A152" s="81" t="s">
        <v>164</v>
      </c>
      <c r="B152" s="105" t="s">
        <v>580</v>
      </c>
      <c r="C152" s="118"/>
      <c r="D152">
        <v>31</v>
      </c>
      <c r="E152">
        <f t="shared" si="3"/>
        <v>3.6</v>
      </c>
      <c r="F152">
        <v>0</v>
      </c>
    </row>
    <row r="153" spans="1:6" x14ac:dyDescent="0.25">
      <c r="A153" s="81" t="s">
        <v>156</v>
      </c>
      <c r="B153" s="105" t="s">
        <v>581</v>
      </c>
      <c r="C153" s="118"/>
      <c r="D153">
        <v>29</v>
      </c>
      <c r="E153">
        <f t="shared" si="3"/>
        <v>3.5</v>
      </c>
      <c r="F153">
        <v>0</v>
      </c>
    </row>
    <row r="154" spans="1:6" x14ac:dyDescent="0.25">
      <c r="A154" s="81" t="s">
        <v>148</v>
      </c>
      <c r="B154" s="105" t="s">
        <v>582</v>
      </c>
      <c r="C154" s="118"/>
      <c r="D154">
        <v>85</v>
      </c>
      <c r="E154">
        <f t="shared" si="3"/>
        <v>6.3</v>
      </c>
      <c r="F154">
        <v>0</v>
      </c>
    </row>
    <row r="155" spans="1:6" x14ac:dyDescent="0.25">
      <c r="A155" s="81" t="s">
        <v>157</v>
      </c>
      <c r="B155" s="105" t="s">
        <v>583</v>
      </c>
      <c r="C155" s="118"/>
      <c r="D155">
        <v>31</v>
      </c>
      <c r="E155">
        <f t="shared" si="3"/>
        <v>3.6</v>
      </c>
      <c r="F155">
        <v>0</v>
      </c>
    </row>
    <row r="156" spans="1:6" x14ac:dyDescent="0.25">
      <c r="A156" s="81" t="s">
        <v>584</v>
      </c>
      <c r="B156" s="105" t="s">
        <v>585</v>
      </c>
      <c r="C156" s="118"/>
      <c r="D156">
        <v>0</v>
      </c>
      <c r="E156" t="str">
        <f t="shared" si="3"/>
        <v/>
      </c>
      <c r="F156">
        <v>0</v>
      </c>
    </row>
    <row r="157" spans="1:6" x14ac:dyDescent="0.25">
      <c r="A157" s="81" t="s">
        <v>586</v>
      </c>
      <c r="B157" s="105" t="s">
        <v>587</v>
      </c>
      <c r="C157" s="118"/>
      <c r="D157">
        <v>1</v>
      </c>
      <c r="E157">
        <f t="shared" si="3"/>
        <v>2.1</v>
      </c>
      <c r="F157">
        <v>0</v>
      </c>
    </row>
    <row r="158" spans="1:6" x14ac:dyDescent="0.25">
      <c r="A158" s="81" t="s">
        <v>149</v>
      </c>
      <c r="B158" s="105" t="s">
        <v>588</v>
      </c>
      <c r="C158" s="118"/>
      <c r="D158">
        <v>30</v>
      </c>
      <c r="E158">
        <f t="shared" si="3"/>
        <v>3.6</v>
      </c>
      <c r="F158">
        <v>0</v>
      </c>
    </row>
    <row r="159" spans="1:6" x14ac:dyDescent="0.25">
      <c r="A159" s="81" t="s">
        <v>589</v>
      </c>
      <c r="B159" s="105" t="s">
        <v>590</v>
      </c>
      <c r="C159" s="118"/>
      <c r="D159">
        <v>4</v>
      </c>
      <c r="E159">
        <f t="shared" si="3"/>
        <v>2.3000000000000003</v>
      </c>
      <c r="F159">
        <v>0</v>
      </c>
    </row>
    <row r="160" spans="1:6" s="151" customFormat="1" x14ac:dyDescent="0.25">
      <c r="A160" s="160" t="s">
        <v>159</v>
      </c>
      <c r="B160" s="150" t="s">
        <v>591</v>
      </c>
      <c r="C160" s="162"/>
      <c r="D160" s="151">
        <v>4</v>
      </c>
      <c r="E160" s="151">
        <f t="shared" si="3"/>
        <v>2.3000000000000003</v>
      </c>
      <c r="F160" s="151">
        <v>17.25</v>
      </c>
    </row>
    <row r="161" spans="1:6" s="151" customFormat="1" x14ac:dyDescent="0.25">
      <c r="A161" s="160" t="s">
        <v>160</v>
      </c>
      <c r="B161" s="150" t="s">
        <v>592</v>
      </c>
      <c r="C161" s="162"/>
      <c r="D161" s="151">
        <v>3</v>
      </c>
      <c r="E161" s="151">
        <f t="shared" si="3"/>
        <v>2.2000000000000002</v>
      </c>
      <c r="F161" s="151">
        <v>17.25</v>
      </c>
    </row>
    <row r="162" spans="1:6" s="151" customFormat="1" x14ac:dyDescent="0.25">
      <c r="A162" s="160" t="s">
        <v>161</v>
      </c>
      <c r="B162" s="150" t="s">
        <v>593</v>
      </c>
      <c r="C162" s="162"/>
      <c r="D162" s="151">
        <v>3</v>
      </c>
      <c r="E162" s="151">
        <f t="shared" si="3"/>
        <v>2.2000000000000002</v>
      </c>
      <c r="F162" s="151">
        <v>17.25</v>
      </c>
    </row>
    <row r="163" spans="1:6" x14ac:dyDescent="0.25">
      <c r="A163" s="81" t="s">
        <v>176</v>
      </c>
      <c r="B163" s="105" t="s">
        <v>594</v>
      </c>
      <c r="C163" s="118"/>
      <c r="D163">
        <v>22</v>
      </c>
      <c r="E163">
        <f t="shared" si="3"/>
        <v>3.2</v>
      </c>
      <c r="F163">
        <v>0</v>
      </c>
    </row>
    <row r="164" spans="1:6" x14ac:dyDescent="0.25">
      <c r="A164" s="81" t="s">
        <v>172</v>
      </c>
      <c r="B164" s="105" t="s">
        <v>595</v>
      </c>
      <c r="C164" s="118"/>
      <c r="D164">
        <v>12</v>
      </c>
      <c r="E164">
        <f t="shared" si="3"/>
        <v>2.7</v>
      </c>
      <c r="F164">
        <v>0</v>
      </c>
    </row>
    <row r="165" spans="1:6" x14ac:dyDescent="0.25">
      <c r="A165" s="81" t="s">
        <v>174</v>
      </c>
      <c r="B165" s="105" t="s">
        <v>596</v>
      </c>
      <c r="C165" s="118"/>
      <c r="D165">
        <v>13</v>
      </c>
      <c r="E165">
        <f t="shared" si="3"/>
        <v>2.7</v>
      </c>
      <c r="F165">
        <v>0</v>
      </c>
    </row>
    <row r="166" spans="1:6" x14ac:dyDescent="0.25">
      <c r="A166" s="81" t="s">
        <v>47</v>
      </c>
      <c r="B166" s="105" t="s">
        <v>597</v>
      </c>
      <c r="C166" s="118"/>
      <c r="D166">
        <v>11</v>
      </c>
      <c r="E166">
        <f t="shared" si="3"/>
        <v>2.6</v>
      </c>
      <c r="F166">
        <v>0</v>
      </c>
    </row>
    <row r="167" spans="1:6" x14ac:dyDescent="0.25">
      <c r="A167" s="81" t="s">
        <v>598</v>
      </c>
      <c r="B167" s="105" t="s">
        <v>599</v>
      </c>
      <c r="C167" s="118"/>
      <c r="D167">
        <v>7</v>
      </c>
      <c r="E167">
        <f t="shared" si="3"/>
        <v>2.4</v>
      </c>
      <c r="F167">
        <v>0</v>
      </c>
    </row>
    <row r="168" spans="1:6" x14ac:dyDescent="0.25">
      <c r="A168" s="81" t="s">
        <v>170</v>
      </c>
      <c r="B168" s="105" t="s">
        <v>600</v>
      </c>
      <c r="C168" s="118"/>
      <c r="D168">
        <v>13</v>
      </c>
      <c r="E168">
        <f t="shared" si="3"/>
        <v>2.7</v>
      </c>
      <c r="F168">
        <v>0</v>
      </c>
    </row>
    <row r="169" spans="1:6" x14ac:dyDescent="0.25">
      <c r="A169" s="81" t="s">
        <v>178</v>
      </c>
      <c r="B169" s="105" t="s">
        <v>601</v>
      </c>
      <c r="C169" s="118"/>
      <c r="D169">
        <v>9</v>
      </c>
      <c r="E169">
        <f t="shared" si="3"/>
        <v>2.5</v>
      </c>
      <c r="F169">
        <v>0</v>
      </c>
    </row>
    <row r="170" spans="1:6" x14ac:dyDescent="0.25">
      <c r="A170" s="81" t="s">
        <v>602</v>
      </c>
      <c r="B170" s="105" t="s">
        <v>603</v>
      </c>
      <c r="C170" s="118"/>
      <c r="D170">
        <v>9</v>
      </c>
      <c r="E170">
        <f t="shared" si="3"/>
        <v>2.5</v>
      </c>
      <c r="F170">
        <v>0</v>
      </c>
    </row>
    <row r="171" spans="1:6" x14ac:dyDescent="0.25">
      <c r="A171" s="81" t="s">
        <v>167</v>
      </c>
      <c r="B171" s="105" t="s">
        <v>604</v>
      </c>
      <c r="C171" s="118"/>
      <c r="D171">
        <v>8</v>
      </c>
      <c r="E171">
        <f t="shared" si="3"/>
        <v>2.5</v>
      </c>
      <c r="F171">
        <v>0</v>
      </c>
    </row>
    <row r="172" spans="1:6" x14ac:dyDescent="0.25">
      <c r="A172" s="81" t="s">
        <v>605</v>
      </c>
      <c r="B172" s="105" t="s">
        <v>606</v>
      </c>
      <c r="C172" s="118"/>
      <c r="D172">
        <v>2</v>
      </c>
      <c r="E172">
        <f t="shared" si="3"/>
        <v>2.2000000000000002</v>
      </c>
      <c r="F172">
        <v>0</v>
      </c>
    </row>
    <row r="173" spans="1:6" x14ac:dyDescent="0.25">
      <c r="A173" s="81" t="s">
        <v>607</v>
      </c>
      <c r="B173" s="105" t="s">
        <v>608</v>
      </c>
      <c r="C173" s="118"/>
      <c r="D173">
        <v>8</v>
      </c>
      <c r="E173">
        <f t="shared" si="3"/>
        <v>2.5</v>
      </c>
      <c r="F173">
        <v>0</v>
      </c>
    </row>
    <row r="174" spans="1:6" x14ac:dyDescent="0.25">
      <c r="A174" s="81" t="s">
        <v>171</v>
      </c>
      <c r="B174" s="105" t="s">
        <v>609</v>
      </c>
      <c r="C174" s="118"/>
      <c r="D174">
        <v>12</v>
      </c>
      <c r="E174">
        <f t="shared" si="3"/>
        <v>2.7</v>
      </c>
      <c r="F174">
        <v>0</v>
      </c>
    </row>
    <row r="175" spans="1:6" x14ac:dyDescent="0.25">
      <c r="A175" s="81" t="s">
        <v>610</v>
      </c>
      <c r="B175" s="105" t="s">
        <v>611</v>
      </c>
      <c r="C175" s="118"/>
      <c r="D175">
        <v>0</v>
      </c>
      <c r="E175" t="str">
        <f t="shared" si="3"/>
        <v/>
      </c>
      <c r="F175">
        <v>0</v>
      </c>
    </row>
    <row r="176" spans="1:6" s="151" customFormat="1" x14ac:dyDescent="0.25">
      <c r="A176" s="160" t="s">
        <v>173</v>
      </c>
      <c r="B176" s="150" t="s">
        <v>612</v>
      </c>
      <c r="C176" s="162"/>
      <c r="D176" s="151">
        <v>9</v>
      </c>
      <c r="E176" s="151">
        <f t="shared" si="3"/>
        <v>2.5</v>
      </c>
      <c r="F176" s="151">
        <v>21.5</v>
      </c>
    </row>
    <row r="177" spans="1:6" s="151" customFormat="1" x14ac:dyDescent="0.25">
      <c r="A177" s="160" t="s">
        <v>177</v>
      </c>
      <c r="B177" s="150" t="s">
        <v>613</v>
      </c>
      <c r="C177" s="162"/>
      <c r="D177" s="151">
        <v>4</v>
      </c>
      <c r="E177" s="151">
        <f t="shared" si="3"/>
        <v>2.3000000000000003</v>
      </c>
      <c r="F177" s="151">
        <v>21.5</v>
      </c>
    </row>
    <row r="178" spans="1:6" x14ac:dyDescent="0.25">
      <c r="A178" s="81" t="s">
        <v>162</v>
      </c>
      <c r="B178" s="105" t="s">
        <v>614</v>
      </c>
      <c r="C178" s="118"/>
      <c r="D178">
        <v>10</v>
      </c>
      <c r="E178">
        <f t="shared" si="3"/>
        <v>2.6</v>
      </c>
      <c r="F178">
        <v>0</v>
      </c>
    </row>
    <row r="179" spans="1:6" s="151" customFormat="1" x14ac:dyDescent="0.25">
      <c r="A179" s="160" t="s">
        <v>158</v>
      </c>
      <c r="B179" s="150" t="s">
        <v>615</v>
      </c>
      <c r="C179" s="162"/>
      <c r="D179" s="151">
        <v>4</v>
      </c>
      <c r="E179" s="151">
        <f t="shared" si="3"/>
        <v>2.3000000000000003</v>
      </c>
      <c r="F179" s="151">
        <v>21.5</v>
      </c>
    </row>
    <row r="180" spans="1:6" s="151" customFormat="1" x14ac:dyDescent="0.25">
      <c r="A180" s="160" t="s">
        <v>163</v>
      </c>
      <c r="B180" s="150" t="s">
        <v>616</v>
      </c>
      <c r="C180" s="162"/>
      <c r="D180" s="151">
        <v>3</v>
      </c>
      <c r="E180" s="151">
        <f t="shared" si="3"/>
        <v>2.2000000000000002</v>
      </c>
      <c r="F180" s="151">
        <v>21.5</v>
      </c>
    </row>
    <row r="181" spans="1:6" s="151" customFormat="1" x14ac:dyDescent="0.25">
      <c r="A181" s="160" t="s">
        <v>56</v>
      </c>
      <c r="B181" s="150" t="s">
        <v>617</v>
      </c>
      <c r="C181" s="162"/>
      <c r="D181" s="151">
        <v>5</v>
      </c>
      <c r="E181" s="151">
        <f t="shared" si="3"/>
        <v>2.3000000000000003</v>
      </c>
      <c r="F181" s="151">
        <v>21.5</v>
      </c>
    </row>
    <row r="182" spans="1:6" s="151" customFormat="1" x14ac:dyDescent="0.25">
      <c r="A182" s="160" t="s">
        <v>175</v>
      </c>
      <c r="B182" s="150" t="s">
        <v>618</v>
      </c>
      <c r="C182" s="162"/>
      <c r="D182" s="151">
        <v>7</v>
      </c>
      <c r="E182" s="151">
        <f t="shared" si="3"/>
        <v>2.4</v>
      </c>
      <c r="F182" s="151">
        <v>21.5</v>
      </c>
    </row>
    <row r="183" spans="1:6" s="151" customFormat="1" x14ac:dyDescent="0.25">
      <c r="A183" s="160" t="s">
        <v>115</v>
      </c>
      <c r="B183" s="150" t="s">
        <v>619</v>
      </c>
      <c r="C183" s="162"/>
      <c r="D183" s="151">
        <v>4</v>
      </c>
      <c r="E183" s="151">
        <f t="shared" si="3"/>
        <v>2.3000000000000003</v>
      </c>
      <c r="F183" s="151">
        <v>21.5</v>
      </c>
    </row>
    <row r="184" spans="1:6" x14ac:dyDescent="0.25">
      <c r="A184" s="81" t="s">
        <v>620</v>
      </c>
      <c r="B184" s="105" t="s">
        <v>621</v>
      </c>
      <c r="C184" s="118"/>
      <c r="D184">
        <v>2</v>
      </c>
      <c r="E184">
        <f t="shared" si="3"/>
        <v>2.2000000000000002</v>
      </c>
      <c r="F184">
        <v>0</v>
      </c>
    </row>
    <row r="185" spans="1:6" s="151" customFormat="1" x14ac:dyDescent="0.25">
      <c r="A185" s="160" t="s">
        <v>64</v>
      </c>
      <c r="B185" s="150" t="s">
        <v>622</v>
      </c>
      <c r="C185" s="162"/>
      <c r="D185" s="151">
        <v>40</v>
      </c>
      <c r="E185" s="151">
        <f t="shared" si="3"/>
        <v>4.0999999999999996</v>
      </c>
      <c r="F185" s="151">
        <v>21.5</v>
      </c>
    </row>
    <row r="186" spans="1:6" s="151" customFormat="1" x14ac:dyDescent="0.25">
      <c r="A186" s="160" t="s">
        <v>65</v>
      </c>
      <c r="B186" s="150" t="s">
        <v>623</v>
      </c>
      <c r="C186" s="162"/>
      <c r="D186" s="151">
        <v>38</v>
      </c>
      <c r="E186" s="151">
        <f t="shared" si="3"/>
        <v>4</v>
      </c>
      <c r="F186" s="151">
        <v>21.5</v>
      </c>
    </row>
    <row r="187" spans="1:6" s="151" customFormat="1" x14ac:dyDescent="0.25">
      <c r="A187" s="160" t="s">
        <v>57</v>
      </c>
      <c r="B187" s="150" t="s">
        <v>624</v>
      </c>
      <c r="C187" s="162"/>
      <c r="D187" s="151">
        <v>36</v>
      </c>
      <c r="E187" s="151">
        <f t="shared" si="3"/>
        <v>3.9</v>
      </c>
      <c r="F187" s="151">
        <v>21.5</v>
      </c>
    </row>
    <row r="188" spans="1:6" s="151" customFormat="1" x14ac:dyDescent="0.25">
      <c r="A188" s="160" t="s">
        <v>58</v>
      </c>
      <c r="B188" s="150" t="s">
        <v>625</v>
      </c>
      <c r="C188" s="162"/>
      <c r="D188" s="151">
        <v>30</v>
      </c>
      <c r="E188" s="151">
        <f t="shared" si="3"/>
        <v>3.6</v>
      </c>
      <c r="F188" s="151">
        <v>21.5</v>
      </c>
    </row>
    <row r="189" spans="1:6" x14ac:dyDescent="0.25">
      <c r="A189" s="81" t="s">
        <v>66</v>
      </c>
      <c r="B189" s="105" t="s">
        <v>626</v>
      </c>
      <c r="C189" s="118"/>
      <c r="D189">
        <v>31</v>
      </c>
      <c r="E189">
        <f t="shared" si="3"/>
        <v>3.6</v>
      </c>
      <c r="F189">
        <v>0</v>
      </c>
    </row>
    <row r="190" spans="1:6" x14ac:dyDescent="0.25">
      <c r="A190" s="81" t="s">
        <v>142</v>
      </c>
      <c r="B190" s="105" t="s">
        <v>627</v>
      </c>
      <c r="C190" s="118"/>
      <c r="D190">
        <v>10</v>
      </c>
      <c r="E190">
        <f t="shared" si="3"/>
        <v>2.6</v>
      </c>
      <c r="F190">
        <v>0</v>
      </c>
    </row>
    <row r="191" spans="1:6" x14ac:dyDescent="0.25">
      <c r="A191" s="81" t="s">
        <v>143</v>
      </c>
      <c r="B191" s="105" t="s">
        <v>628</v>
      </c>
      <c r="C191" s="118"/>
      <c r="D191">
        <v>9</v>
      </c>
      <c r="E191">
        <f t="shared" si="3"/>
        <v>2.5</v>
      </c>
      <c r="F191">
        <v>0</v>
      </c>
    </row>
    <row r="192" spans="1:6" x14ac:dyDescent="0.25">
      <c r="A192" s="81" t="s">
        <v>144</v>
      </c>
      <c r="B192" s="105" t="s">
        <v>629</v>
      </c>
      <c r="C192" s="118"/>
      <c r="D192">
        <v>14</v>
      </c>
      <c r="E192">
        <f t="shared" si="3"/>
        <v>2.8000000000000003</v>
      </c>
      <c r="F192">
        <v>0</v>
      </c>
    </row>
    <row r="193" spans="1:6" s="151" customFormat="1" x14ac:dyDescent="0.25">
      <c r="A193" s="160" t="s">
        <v>67</v>
      </c>
      <c r="B193" s="150" t="s">
        <v>630</v>
      </c>
      <c r="C193" s="162"/>
      <c r="D193" s="151">
        <v>4</v>
      </c>
      <c r="E193" s="151">
        <f t="shared" si="3"/>
        <v>2.3000000000000003</v>
      </c>
      <c r="F193" s="151">
        <v>21.5</v>
      </c>
    </row>
    <row r="194" spans="1:6" s="151" customFormat="1" x14ac:dyDescent="0.25">
      <c r="A194" s="160" t="s">
        <v>68</v>
      </c>
      <c r="B194" s="150" t="s">
        <v>631</v>
      </c>
      <c r="C194" s="162"/>
      <c r="D194" s="151">
        <v>3</v>
      </c>
      <c r="E194" s="151">
        <f t="shared" si="3"/>
        <v>2.2000000000000002</v>
      </c>
      <c r="F194" s="151">
        <v>21.5</v>
      </c>
    </row>
    <row r="195" spans="1:6" s="151" customFormat="1" x14ac:dyDescent="0.25">
      <c r="A195" s="160" t="s">
        <v>69</v>
      </c>
      <c r="B195" s="150" t="s">
        <v>632</v>
      </c>
      <c r="C195" s="162"/>
      <c r="D195" s="151">
        <v>3</v>
      </c>
      <c r="E195" s="151">
        <f t="shared" si="3"/>
        <v>2.2000000000000002</v>
      </c>
      <c r="F195" s="151">
        <v>21.5</v>
      </c>
    </row>
    <row r="196" spans="1:6" s="151" customFormat="1" x14ac:dyDescent="0.25">
      <c r="A196" s="160" t="s">
        <v>70</v>
      </c>
      <c r="B196" s="150" t="s">
        <v>633</v>
      </c>
      <c r="C196" s="162"/>
      <c r="D196" s="151">
        <v>3</v>
      </c>
      <c r="E196" s="151">
        <f t="shared" si="3"/>
        <v>2.2000000000000002</v>
      </c>
      <c r="F196" s="151">
        <v>21.5</v>
      </c>
    </row>
    <row r="197" spans="1:6" s="151" customFormat="1" x14ac:dyDescent="0.25">
      <c r="A197" s="160" t="s">
        <v>71</v>
      </c>
      <c r="B197" s="150" t="s">
        <v>634</v>
      </c>
      <c r="C197" s="162"/>
      <c r="D197" s="151">
        <v>6</v>
      </c>
      <c r="E197" s="151">
        <f t="shared" si="3"/>
        <v>2.4</v>
      </c>
      <c r="F197" s="151">
        <v>21.5</v>
      </c>
    </row>
    <row r="198" spans="1:6" s="151" customFormat="1" x14ac:dyDescent="0.25">
      <c r="A198" s="160" t="s">
        <v>72</v>
      </c>
      <c r="B198" s="150" t="s">
        <v>635</v>
      </c>
      <c r="C198" s="162"/>
      <c r="D198" s="151">
        <v>7</v>
      </c>
      <c r="E198" s="151">
        <f t="shared" si="3"/>
        <v>2.4</v>
      </c>
      <c r="F198" s="151">
        <v>21.5</v>
      </c>
    </row>
    <row r="199" spans="1:6" x14ac:dyDescent="0.25">
      <c r="A199" s="81" t="s">
        <v>181</v>
      </c>
      <c r="B199" s="105" t="s">
        <v>636</v>
      </c>
      <c r="C199" s="118"/>
      <c r="D199">
        <v>12</v>
      </c>
      <c r="E199">
        <f t="shared" si="3"/>
        <v>2.7</v>
      </c>
      <c r="F199">
        <v>0</v>
      </c>
    </row>
    <row r="200" spans="1:6" x14ac:dyDescent="0.25">
      <c r="A200" s="81" t="s">
        <v>637</v>
      </c>
      <c r="B200" s="105" t="s">
        <v>638</v>
      </c>
      <c r="C200" s="118"/>
      <c r="D200">
        <v>0</v>
      </c>
      <c r="E200" t="str">
        <f t="shared" si="3"/>
        <v/>
      </c>
      <c r="F200">
        <v>0</v>
      </c>
    </row>
    <row r="201" spans="1:6" x14ac:dyDescent="0.25">
      <c r="A201" s="81" t="s">
        <v>179</v>
      </c>
      <c r="B201" s="105" t="s">
        <v>639</v>
      </c>
      <c r="C201" s="118"/>
      <c r="D201">
        <v>22</v>
      </c>
      <c r="E201">
        <f t="shared" si="3"/>
        <v>3.2</v>
      </c>
      <c r="F201">
        <v>0</v>
      </c>
    </row>
    <row r="202" spans="1:6" x14ac:dyDescent="0.25">
      <c r="A202" s="81" t="s">
        <v>640</v>
      </c>
      <c r="B202" s="105" t="s">
        <v>641</v>
      </c>
      <c r="C202" s="118"/>
      <c r="D202">
        <v>9</v>
      </c>
      <c r="E202">
        <f t="shared" si="3"/>
        <v>2.5</v>
      </c>
      <c r="F202">
        <v>0</v>
      </c>
    </row>
    <row r="203" spans="1:6" x14ac:dyDescent="0.25">
      <c r="A203" s="81" t="s">
        <v>642</v>
      </c>
      <c r="B203" s="105" t="s">
        <v>643</v>
      </c>
      <c r="C203" s="118"/>
      <c r="D203">
        <v>0</v>
      </c>
      <c r="E203" t="str">
        <f t="shared" si="3"/>
        <v/>
      </c>
      <c r="F203">
        <v>0</v>
      </c>
    </row>
    <row r="204" spans="1:6" s="151" customFormat="1" x14ac:dyDescent="0.25">
      <c r="A204" s="160" t="s">
        <v>182</v>
      </c>
      <c r="B204" s="150" t="s">
        <v>644</v>
      </c>
      <c r="C204" s="162"/>
      <c r="D204" s="151">
        <v>11</v>
      </c>
      <c r="E204" s="151">
        <f t="shared" si="3"/>
        <v>2.6</v>
      </c>
      <c r="F204" s="151">
        <v>21.5</v>
      </c>
    </row>
    <row r="205" spans="1:6" x14ac:dyDescent="0.25">
      <c r="A205" s="160" t="s">
        <v>183</v>
      </c>
      <c r="B205" s="150" t="s">
        <v>645</v>
      </c>
      <c r="C205" s="162"/>
      <c r="D205" s="151">
        <v>8</v>
      </c>
      <c r="E205" s="151">
        <f t="shared" ref="E205:E247" si="4">IF(D205&gt;0,ROUNDUP(((35+(D205*0.8625))/17.25),1),"")</f>
        <v>2.5</v>
      </c>
      <c r="F205" s="151">
        <v>21.5</v>
      </c>
    </row>
    <row r="206" spans="1:6" x14ac:dyDescent="0.25">
      <c r="A206" s="81" t="s">
        <v>646</v>
      </c>
      <c r="B206" s="105" t="s">
        <v>647</v>
      </c>
      <c r="C206" s="118"/>
      <c r="D206">
        <v>3</v>
      </c>
      <c r="E206">
        <f t="shared" si="4"/>
        <v>2.2000000000000002</v>
      </c>
      <c r="F206">
        <v>0</v>
      </c>
    </row>
    <row r="207" spans="1:6" x14ac:dyDescent="0.25">
      <c r="A207" s="81" t="s">
        <v>648</v>
      </c>
      <c r="B207" s="105" t="s">
        <v>647</v>
      </c>
      <c r="C207" s="118"/>
      <c r="D207">
        <v>0</v>
      </c>
      <c r="E207" t="str">
        <f t="shared" si="4"/>
        <v/>
      </c>
      <c r="F207">
        <v>0</v>
      </c>
    </row>
    <row r="208" spans="1:6" x14ac:dyDescent="0.25">
      <c r="A208" s="81" t="s">
        <v>649</v>
      </c>
      <c r="B208" s="105" t="s">
        <v>650</v>
      </c>
      <c r="C208" s="118"/>
      <c r="D208">
        <v>0</v>
      </c>
      <c r="E208" t="str">
        <f t="shared" si="4"/>
        <v/>
      </c>
      <c r="F208">
        <v>0</v>
      </c>
    </row>
    <row r="209" spans="1:6" x14ac:dyDescent="0.25">
      <c r="A209" s="81" t="s">
        <v>651</v>
      </c>
      <c r="B209" s="105" t="s">
        <v>652</v>
      </c>
      <c r="C209" s="118"/>
      <c r="D209">
        <v>126</v>
      </c>
      <c r="E209">
        <f t="shared" si="4"/>
        <v>8.4</v>
      </c>
      <c r="F209">
        <v>0</v>
      </c>
    </row>
    <row r="210" spans="1:6" x14ac:dyDescent="0.25">
      <c r="A210" s="81" t="s">
        <v>653</v>
      </c>
      <c r="B210" s="105" t="s">
        <v>652</v>
      </c>
      <c r="C210" s="118"/>
      <c r="D210">
        <v>10</v>
      </c>
      <c r="E210">
        <f t="shared" si="4"/>
        <v>2.6</v>
      </c>
      <c r="F210">
        <v>0</v>
      </c>
    </row>
    <row r="211" spans="1:6" x14ac:dyDescent="0.25">
      <c r="A211" s="81" t="s">
        <v>654</v>
      </c>
      <c r="B211" s="105" t="s">
        <v>655</v>
      </c>
      <c r="C211" s="118"/>
      <c r="D211">
        <v>4</v>
      </c>
      <c r="E211">
        <f t="shared" si="4"/>
        <v>2.3000000000000003</v>
      </c>
      <c r="F211">
        <v>0</v>
      </c>
    </row>
    <row r="212" spans="1:6" x14ac:dyDescent="0.25">
      <c r="A212" s="81" t="s">
        <v>656</v>
      </c>
      <c r="B212" s="105" t="s">
        <v>657</v>
      </c>
      <c r="C212" s="118"/>
      <c r="D212">
        <v>0</v>
      </c>
      <c r="E212" t="str">
        <f t="shared" si="4"/>
        <v/>
      </c>
      <c r="F212">
        <v>0</v>
      </c>
    </row>
    <row r="213" spans="1:6" x14ac:dyDescent="0.25">
      <c r="A213" s="81" t="s">
        <v>658</v>
      </c>
      <c r="B213" s="105" t="s">
        <v>659</v>
      </c>
      <c r="C213" s="118"/>
      <c r="D213">
        <v>0</v>
      </c>
      <c r="E213" t="str">
        <f t="shared" si="4"/>
        <v/>
      </c>
      <c r="F213">
        <v>0</v>
      </c>
    </row>
    <row r="214" spans="1:6" x14ac:dyDescent="0.25">
      <c r="A214" s="81" t="s">
        <v>660</v>
      </c>
      <c r="B214" s="105" t="s">
        <v>661</v>
      </c>
      <c r="C214" s="118"/>
      <c r="D214">
        <v>0</v>
      </c>
      <c r="E214" t="str">
        <f t="shared" si="4"/>
        <v/>
      </c>
      <c r="F214">
        <v>0</v>
      </c>
    </row>
    <row r="215" spans="1:6" x14ac:dyDescent="0.25">
      <c r="A215" s="81" t="s">
        <v>662</v>
      </c>
      <c r="B215" s="105" t="s">
        <v>661</v>
      </c>
      <c r="C215" s="118"/>
      <c r="D215">
        <v>0</v>
      </c>
      <c r="E215" t="str">
        <f t="shared" si="4"/>
        <v/>
      </c>
      <c r="F215">
        <v>0</v>
      </c>
    </row>
    <row r="216" spans="1:6" x14ac:dyDescent="0.25">
      <c r="A216" s="81" t="s">
        <v>663</v>
      </c>
      <c r="B216" s="105" t="s">
        <v>664</v>
      </c>
      <c r="C216" s="118"/>
      <c r="D216">
        <v>0</v>
      </c>
      <c r="E216" t="str">
        <f t="shared" si="4"/>
        <v/>
      </c>
      <c r="F216">
        <v>0</v>
      </c>
    </row>
    <row r="217" spans="1:6" x14ac:dyDescent="0.25">
      <c r="A217" s="81" t="s">
        <v>665</v>
      </c>
      <c r="B217" s="105" t="s">
        <v>664</v>
      </c>
      <c r="C217" s="118"/>
      <c r="D217">
        <v>0</v>
      </c>
      <c r="E217" t="str">
        <f t="shared" si="4"/>
        <v/>
      </c>
      <c r="F217">
        <v>0</v>
      </c>
    </row>
    <row r="218" spans="1:6" x14ac:dyDescent="0.25">
      <c r="A218" s="81" t="s">
        <v>666</v>
      </c>
      <c r="B218" s="105" t="s">
        <v>667</v>
      </c>
      <c r="C218" s="118"/>
      <c r="D218">
        <v>0</v>
      </c>
      <c r="E218" t="str">
        <f t="shared" si="4"/>
        <v/>
      </c>
      <c r="F218">
        <v>0</v>
      </c>
    </row>
    <row r="219" spans="1:6" x14ac:dyDescent="0.25">
      <c r="A219" s="81" t="s">
        <v>668</v>
      </c>
      <c r="B219" s="105" t="s">
        <v>669</v>
      </c>
      <c r="C219" s="118"/>
      <c r="D219">
        <v>0</v>
      </c>
      <c r="E219" t="str">
        <f t="shared" si="4"/>
        <v/>
      </c>
      <c r="F219">
        <v>0</v>
      </c>
    </row>
    <row r="220" spans="1:6" x14ac:dyDescent="0.25">
      <c r="A220" s="81" t="s">
        <v>670</v>
      </c>
      <c r="B220" s="105" t="s">
        <v>671</v>
      </c>
      <c r="C220" s="118"/>
      <c r="D220">
        <v>5</v>
      </c>
      <c r="E220">
        <f t="shared" si="4"/>
        <v>2.3000000000000003</v>
      </c>
      <c r="F220">
        <v>0</v>
      </c>
    </row>
    <row r="221" spans="1:6" x14ac:dyDescent="0.25">
      <c r="A221" s="81" t="s">
        <v>672</v>
      </c>
      <c r="B221" s="105" t="s">
        <v>673</v>
      </c>
      <c r="C221" s="118"/>
      <c r="D221">
        <v>1</v>
      </c>
      <c r="E221">
        <f t="shared" si="4"/>
        <v>2.1</v>
      </c>
      <c r="F221">
        <v>0</v>
      </c>
    </row>
    <row r="222" spans="1:6" x14ac:dyDescent="0.25">
      <c r="A222" s="81" t="s">
        <v>674</v>
      </c>
      <c r="B222" s="105" t="s">
        <v>675</v>
      </c>
      <c r="C222" s="118"/>
      <c r="D222">
        <v>0</v>
      </c>
      <c r="E222" t="str">
        <f t="shared" si="4"/>
        <v/>
      </c>
      <c r="F222">
        <v>0</v>
      </c>
    </row>
    <row r="223" spans="1:6" x14ac:dyDescent="0.25">
      <c r="A223" s="81" t="s">
        <v>676</v>
      </c>
      <c r="B223" s="105" t="s">
        <v>677</v>
      </c>
      <c r="C223" s="118"/>
      <c r="D223">
        <v>0</v>
      </c>
      <c r="E223" t="str">
        <f t="shared" si="4"/>
        <v/>
      </c>
      <c r="F223">
        <v>0</v>
      </c>
    </row>
    <row r="224" spans="1:6" x14ac:dyDescent="0.25">
      <c r="A224" s="81" t="s">
        <v>678</v>
      </c>
      <c r="B224" s="105" t="s">
        <v>679</v>
      </c>
      <c r="C224" s="118"/>
      <c r="D224">
        <v>38</v>
      </c>
      <c r="E224">
        <f t="shared" si="4"/>
        <v>4</v>
      </c>
      <c r="F224">
        <v>0</v>
      </c>
    </row>
    <row r="225" spans="1:6" x14ac:dyDescent="0.25">
      <c r="A225" s="81" t="s">
        <v>180</v>
      </c>
      <c r="B225" s="105" t="s">
        <v>680</v>
      </c>
      <c r="C225" s="118"/>
      <c r="D225">
        <v>87</v>
      </c>
      <c r="E225">
        <f t="shared" si="4"/>
        <v>6.3999999999999995</v>
      </c>
      <c r="F225">
        <v>0</v>
      </c>
    </row>
    <row r="226" spans="1:6" x14ac:dyDescent="0.25">
      <c r="A226" s="81" t="s">
        <v>168</v>
      </c>
      <c r="B226" s="105" t="s">
        <v>681</v>
      </c>
      <c r="C226" s="118"/>
      <c r="D226">
        <v>17</v>
      </c>
      <c r="E226">
        <f t="shared" si="4"/>
        <v>2.9</v>
      </c>
      <c r="F226">
        <v>0</v>
      </c>
    </row>
    <row r="227" spans="1:6" x14ac:dyDescent="0.25">
      <c r="A227" s="81" t="s">
        <v>48</v>
      </c>
      <c r="B227" s="105" t="s">
        <v>682</v>
      </c>
      <c r="C227" s="118"/>
      <c r="D227">
        <v>22</v>
      </c>
      <c r="E227">
        <f t="shared" si="4"/>
        <v>3.2</v>
      </c>
      <c r="F227">
        <v>0</v>
      </c>
    </row>
    <row r="228" spans="1:6" x14ac:dyDescent="0.25">
      <c r="A228" s="81" t="s">
        <v>120</v>
      </c>
      <c r="B228" s="105" t="s">
        <v>683</v>
      </c>
      <c r="C228" s="118"/>
      <c r="D228">
        <v>309</v>
      </c>
      <c r="E228">
        <f t="shared" si="4"/>
        <v>17.5</v>
      </c>
      <c r="F228">
        <v>0</v>
      </c>
    </row>
    <row r="229" spans="1:6" s="151" customFormat="1" x14ac:dyDescent="0.25">
      <c r="A229" s="160" t="s">
        <v>121</v>
      </c>
      <c r="B229" s="150" t="s">
        <v>684</v>
      </c>
      <c r="C229" s="162"/>
      <c r="D229" s="151">
        <v>1055</v>
      </c>
      <c r="E229" s="151">
        <f t="shared" si="4"/>
        <v>54.800000000000004</v>
      </c>
      <c r="F229" s="151">
        <v>0</v>
      </c>
    </row>
    <row r="230" spans="1:6" x14ac:dyDescent="0.25">
      <c r="A230" s="81" t="s">
        <v>125</v>
      </c>
      <c r="B230" s="105" t="s">
        <v>685</v>
      </c>
      <c r="C230" s="118"/>
      <c r="D230">
        <v>55</v>
      </c>
      <c r="E230">
        <f t="shared" si="4"/>
        <v>4.8</v>
      </c>
      <c r="F230">
        <v>0</v>
      </c>
    </row>
    <row r="231" spans="1:6" x14ac:dyDescent="0.25">
      <c r="A231" s="81" t="s">
        <v>140</v>
      </c>
      <c r="B231" s="105" t="s">
        <v>686</v>
      </c>
      <c r="C231" s="118"/>
      <c r="D231">
        <v>152</v>
      </c>
      <c r="E231">
        <f t="shared" si="4"/>
        <v>9.6999999999999993</v>
      </c>
      <c r="F231">
        <v>0</v>
      </c>
    </row>
    <row r="232" spans="1:6" x14ac:dyDescent="0.25">
      <c r="A232" s="81" t="s">
        <v>129</v>
      </c>
      <c r="B232" s="105" t="s">
        <v>687</v>
      </c>
      <c r="C232" s="118"/>
      <c r="D232">
        <v>299</v>
      </c>
      <c r="E232">
        <f t="shared" si="4"/>
        <v>17</v>
      </c>
      <c r="F232">
        <v>0</v>
      </c>
    </row>
    <row r="233" spans="1:6" x14ac:dyDescent="0.25">
      <c r="A233" s="81" t="s">
        <v>133</v>
      </c>
      <c r="B233" s="105" t="s">
        <v>688</v>
      </c>
      <c r="C233" s="118"/>
      <c r="D233">
        <v>275</v>
      </c>
      <c r="E233">
        <f t="shared" si="4"/>
        <v>15.799999999999999</v>
      </c>
      <c r="F233">
        <v>0</v>
      </c>
    </row>
    <row r="234" spans="1:6" x14ac:dyDescent="0.25">
      <c r="A234" s="81" t="s">
        <v>126</v>
      </c>
      <c r="B234" s="105" t="s">
        <v>689</v>
      </c>
      <c r="C234" s="118"/>
      <c r="D234">
        <v>27</v>
      </c>
      <c r="E234">
        <f t="shared" si="4"/>
        <v>3.4</v>
      </c>
      <c r="F234">
        <v>0</v>
      </c>
    </row>
    <row r="235" spans="1:6" x14ac:dyDescent="0.25">
      <c r="A235" s="81" t="s">
        <v>127</v>
      </c>
      <c r="B235" s="105" t="s">
        <v>690</v>
      </c>
      <c r="C235" s="118"/>
      <c r="D235">
        <v>24</v>
      </c>
      <c r="E235">
        <f t="shared" si="4"/>
        <v>3.3000000000000003</v>
      </c>
      <c r="F235">
        <v>0</v>
      </c>
    </row>
    <row r="236" spans="1:6" x14ac:dyDescent="0.25">
      <c r="A236" s="81" t="s">
        <v>139</v>
      </c>
      <c r="B236" s="105" t="s">
        <v>691</v>
      </c>
      <c r="C236" s="118"/>
      <c r="D236">
        <v>15</v>
      </c>
      <c r="E236">
        <f t="shared" si="4"/>
        <v>2.8000000000000003</v>
      </c>
      <c r="F236">
        <v>0</v>
      </c>
    </row>
    <row r="237" spans="1:6" x14ac:dyDescent="0.25">
      <c r="A237" s="81" t="s">
        <v>134</v>
      </c>
      <c r="B237" s="105" t="s">
        <v>692</v>
      </c>
      <c r="C237" s="118"/>
      <c r="D237">
        <v>114</v>
      </c>
      <c r="E237">
        <f t="shared" si="4"/>
        <v>7.8</v>
      </c>
      <c r="F237">
        <v>0</v>
      </c>
    </row>
    <row r="238" spans="1:6" x14ac:dyDescent="0.25">
      <c r="A238" s="81" t="s">
        <v>130</v>
      </c>
      <c r="B238" s="105" t="s">
        <v>693</v>
      </c>
      <c r="C238" s="118"/>
      <c r="D238">
        <v>12</v>
      </c>
      <c r="E238">
        <f t="shared" si="4"/>
        <v>2.7</v>
      </c>
      <c r="F238">
        <v>0</v>
      </c>
    </row>
    <row r="239" spans="1:6" x14ac:dyDescent="0.25">
      <c r="A239" s="81" t="s">
        <v>122</v>
      </c>
      <c r="B239" s="105" t="s">
        <v>694</v>
      </c>
      <c r="C239" s="118"/>
      <c r="D239">
        <v>71</v>
      </c>
      <c r="E239">
        <f t="shared" si="4"/>
        <v>5.6</v>
      </c>
      <c r="F239">
        <v>0</v>
      </c>
    </row>
    <row r="240" spans="1:6" x14ac:dyDescent="0.25">
      <c r="A240" s="81" t="s">
        <v>135</v>
      </c>
      <c r="B240" s="105" t="s">
        <v>695</v>
      </c>
      <c r="C240" s="118"/>
      <c r="D240">
        <v>10</v>
      </c>
      <c r="E240">
        <f t="shared" si="4"/>
        <v>2.6</v>
      </c>
      <c r="F240">
        <v>0</v>
      </c>
    </row>
    <row r="241" spans="1:6" x14ac:dyDescent="0.25">
      <c r="A241" s="81" t="s">
        <v>119</v>
      </c>
      <c r="B241" s="105" t="s">
        <v>696</v>
      </c>
      <c r="C241" s="118"/>
      <c r="D241">
        <v>6</v>
      </c>
      <c r="E241">
        <f t="shared" si="4"/>
        <v>2.4</v>
      </c>
      <c r="F241">
        <v>0</v>
      </c>
    </row>
    <row r="242" spans="1:6" x14ac:dyDescent="0.25">
      <c r="A242" s="81" t="s">
        <v>123</v>
      </c>
      <c r="B242" s="105" t="s">
        <v>697</v>
      </c>
      <c r="C242" s="118"/>
      <c r="D242">
        <v>15</v>
      </c>
      <c r="E242">
        <f t="shared" si="4"/>
        <v>2.8000000000000003</v>
      </c>
      <c r="F242">
        <v>0</v>
      </c>
    </row>
    <row r="243" spans="1:6" x14ac:dyDescent="0.25">
      <c r="A243" s="81" t="s">
        <v>131</v>
      </c>
      <c r="B243" s="105" t="s">
        <v>698</v>
      </c>
      <c r="C243" s="118"/>
      <c r="D243">
        <v>10</v>
      </c>
      <c r="E243">
        <f t="shared" si="4"/>
        <v>2.6</v>
      </c>
      <c r="F243">
        <v>0</v>
      </c>
    </row>
    <row r="244" spans="1:6" x14ac:dyDescent="0.25">
      <c r="A244" s="81" t="s">
        <v>136</v>
      </c>
      <c r="B244" s="105" t="s">
        <v>699</v>
      </c>
      <c r="C244" s="118"/>
      <c r="D244">
        <v>116</v>
      </c>
      <c r="E244">
        <f t="shared" si="4"/>
        <v>7.8999999999999995</v>
      </c>
      <c r="F244">
        <v>0</v>
      </c>
    </row>
    <row r="245" spans="1:6" x14ac:dyDescent="0.25">
      <c r="A245" s="81" t="s">
        <v>132</v>
      </c>
      <c r="B245" s="105" t="s">
        <v>700</v>
      </c>
      <c r="C245" s="118"/>
      <c r="D245">
        <v>1</v>
      </c>
      <c r="E245">
        <f t="shared" si="4"/>
        <v>2.1</v>
      </c>
      <c r="F245">
        <v>0</v>
      </c>
    </row>
    <row r="246" spans="1:6" x14ac:dyDescent="0.25">
      <c r="A246" s="81" t="s">
        <v>124</v>
      </c>
      <c r="B246" s="105" t="s">
        <v>701</v>
      </c>
      <c r="C246" s="118"/>
      <c r="D246">
        <v>119</v>
      </c>
      <c r="E246">
        <f t="shared" si="4"/>
        <v>8</v>
      </c>
      <c r="F246">
        <v>0</v>
      </c>
    </row>
    <row r="247" spans="1:6" x14ac:dyDescent="0.25">
      <c r="A247" s="81" t="s">
        <v>137</v>
      </c>
      <c r="B247" s="105" t="s">
        <v>702</v>
      </c>
      <c r="C247" s="118"/>
      <c r="D247">
        <v>8</v>
      </c>
      <c r="E247">
        <f t="shared" si="4"/>
        <v>2.5</v>
      </c>
      <c r="F247">
        <v>0</v>
      </c>
    </row>
    <row r="248" spans="1:6" x14ac:dyDescent="0.25">
      <c r="A248" s="131" t="s">
        <v>138</v>
      </c>
      <c r="B248" s="132"/>
      <c r="C248" s="118"/>
      <c r="D248" s="105"/>
      <c r="E248" t="str">
        <f>IF(D248&gt;0,ROUNDUP(((35+(D248*0.8625))/17.25),1),"")</f>
        <v/>
      </c>
      <c r="F248">
        <v>0</v>
      </c>
    </row>
    <row r="249" spans="1:6" x14ac:dyDescent="0.25">
      <c r="A249" s="131" t="s">
        <v>38</v>
      </c>
      <c r="B249" s="132"/>
      <c r="C249" s="118" t="s">
        <v>703</v>
      </c>
      <c r="D249" s="105"/>
      <c r="E249" t="str">
        <f t="shared" ref="E249:E254" si="5">IF(D249&gt;0,ROUNDUP(((35+(D249*0.8625))/17.25),1),"")</f>
        <v/>
      </c>
      <c r="F249">
        <v>0</v>
      </c>
    </row>
    <row r="250" spans="1:6" x14ac:dyDescent="0.25">
      <c r="A250" s="131" t="s">
        <v>74</v>
      </c>
      <c r="B250" s="132"/>
      <c r="C250" s="118" t="s">
        <v>703</v>
      </c>
      <c r="D250" s="105"/>
      <c r="E250" t="str">
        <f t="shared" si="5"/>
        <v/>
      </c>
      <c r="F250">
        <v>0</v>
      </c>
    </row>
    <row r="251" spans="1:6" x14ac:dyDescent="0.25">
      <c r="A251" s="131" t="s">
        <v>79</v>
      </c>
      <c r="B251" s="132"/>
      <c r="C251" s="118" t="s">
        <v>703</v>
      </c>
      <c r="D251" s="105"/>
      <c r="E251" t="str">
        <f t="shared" si="5"/>
        <v/>
      </c>
      <c r="F251">
        <v>0</v>
      </c>
    </row>
    <row r="252" spans="1:6" x14ac:dyDescent="0.25">
      <c r="A252" s="131" t="s">
        <v>88</v>
      </c>
      <c r="B252" s="132"/>
      <c r="C252" s="118" t="s">
        <v>703</v>
      </c>
      <c r="D252" s="105"/>
      <c r="E252" t="str">
        <f t="shared" si="5"/>
        <v/>
      </c>
      <c r="F252">
        <v>0</v>
      </c>
    </row>
    <row r="253" spans="1:6" x14ac:dyDescent="0.25">
      <c r="A253" s="131" t="s">
        <v>39</v>
      </c>
      <c r="B253" s="132"/>
      <c r="C253" s="118" t="s">
        <v>703</v>
      </c>
      <c r="D253" s="105"/>
      <c r="E253" t="str">
        <f t="shared" si="5"/>
        <v/>
      </c>
      <c r="F253">
        <v>0</v>
      </c>
    </row>
    <row r="254" spans="1:6" x14ac:dyDescent="0.25">
      <c r="A254" s="131" t="s">
        <v>46</v>
      </c>
      <c r="B254" s="132"/>
      <c r="C254" s="118" t="s">
        <v>703</v>
      </c>
      <c r="D254" s="105"/>
      <c r="E254" t="str">
        <f t="shared" si="5"/>
        <v/>
      </c>
      <c r="F254">
        <v>0</v>
      </c>
    </row>
    <row r="255" spans="1:6" x14ac:dyDescent="0.25">
      <c r="A255" s="131" t="s">
        <v>784</v>
      </c>
      <c r="B255" s="132"/>
      <c r="C255" s="118"/>
      <c r="D255" s="105"/>
      <c r="E255" t="str">
        <f>IF(D255&gt;0,ROUNDUP(((35+(D255*0.8625))/17.25),1),"")</f>
        <v/>
      </c>
      <c r="F255">
        <v>21.5</v>
      </c>
    </row>
    <row r="256" spans="1:6" x14ac:dyDescent="0.25">
      <c r="A256" s="131" t="s">
        <v>785</v>
      </c>
      <c r="B256" s="132"/>
      <c r="C256" s="118"/>
      <c r="D256" s="105"/>
      <c r="E256" t="str">
        <f>IF(D256&gt;0,ROUNDUP(((35+(D256*0.8625))/17.25),1),"")</f>
        <v/>
      </c>
      <c r="F256">
        <v>21.5</v>
      </c>
    </row>
    <row r="257" spans="1:6" x14ac:dyDescent="0.25">
      <c r="A257" s="131" t="s">
        <v>786</v>
      </c>
      <c r="B257" s="132"/>
      <c r="C257" s="118"/>
      <c r="D257" s="105"/>
      <c r="E257" t="str">
        <f>IF(D257&gt;0,ROUNDUP(((35+(D257*0.8625))/17.25),1),"")</f>
        <v/>
      </c>
      <c r="F257">
        <v>21.5</v>
      </c>
    </row>
    <row r="258" spans="1:6" x14ac:dyDescent="0.25">
      <c r="A258" s="131" t="s">
        <v>787</v>
      </c>
      <c r="B258" s="132"/>
      <c r="C258" s="118"/>
      <c r="D258" s="105"/>
      <c r="E258" t="str">
        <f>IF(D258&gt;0,ROUNDUP(((35+(D258*0.8625))/17.25),1),"")</f>
        <v/>
      </c>
      <c r="F258">
        <v>21.5</v>
      </c>
    </row>
    <row r="259" spans="1:6" x14ac:dyDescent="0.25">
      <c r="A259" s="131" t="s">
        <v>81</v>
      </c>
      <c r="B259" s="132"/>
      <c r="C259" s="118"/>
      <c r="D259" s="105"/>
      <c r="E259" t="str">
        <f>IF(D259&gt;0,ROUNDUP(((35+(D259*0.8625))/17.25),1),"")</f>
        <v/>
      </c>
    </row>
  </sheetData>
  <sheetProtection sheet="1" objects="1" scenarios="1" formatCells="0" autoFilter="0" pivotTables="0"/>
  <phoneticPr fontId="5" type="noConversion"/>
  <conditionalFormatting sqref="A1 A256:A1048576">
    <cfRule type="duplicateValues" dxfId="11" priority="6"/>
  </conditionalFormatting>
  <conditionalFormatting sqref="A248:A254">
    <cfRule type="duplicateValues" dxfId="10" priority="2"/>
  </conditionalFormatting>
  <conditionalFormatting sqref="A2:A259">
    <cfRule type="duplicateValues" dxfId="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AEB5B-FBFB-4EA4-BBC4-4C33A1293334}">
  <sheetPr codeName="Sheet9"/>
  <dimension ref="A1:M36"/>
  <sheetViews>
    <sheetView workbookViewId="0">
      <selection activeCell="H25" sqref="H25"/>
    </sheetView>
  </sheetViews>
  <sheetFormatPr defaultRowHeight="15" x14ac:dyDescent="0.25"/>
  <cols>
    <col min="1" max="1" width="42.42578125" bestFit="1" customWidth="1"/>
    <col min="2" max="2" width="3.140625" customWidth="1"/>
    <col min="3" max="3" width="30" bestFit="1" customWidth="1"/>
    <col min="4" max="4" width="21.140625" customWidth="1"/>
    <col min="5" max="5" width="41.7109375" customWidth="1"/>
    <col min="6" max="6" width="4.85546875" bestFit="1" customWidth="1"/>
    <col min="7" max="7" width="8.140625" bestFit="1" customWidth="1"/>
    <col min="8" max="8" width="18.5703125" bestFit="1" customWidth="1"/>
    <col min="9" max="10" width="18.85546875" bestFit="1" customWidth="1"/>
    <col min="11" max="11" width="26.85546875" bestFit="1" customWidth="1"/>
    <col min="12" max="12" width="4.42578125" customWidth="1"/>
  </cols>
  <sheetData>
    <row r="1" spans="1:13" x14ac:dyDescent="0.25">
      <c r="A1" s="1" t="s">
        <v>214</v>
      </c>
      <c r="B1" s="1"/>
      <c r="C1" s="82" t="s">
        <v>5</v>
      </c>
      <c r="D1" s="84" t="s">
        <v>363</v>
      </c>
      <c r="E1" s="84" t="s">
        <v>364</v>
      </c>
      <c r="F1" s="84" t="s">
        <v>365</v>
      </c>
      <c r="G1" s="84" t="s">
        <v>366</v>
      </c>
      <c r="H1" s="84" t="s">
        <v>367</v>
      </c>
      <c r="I1" s="84" t="s">
        <v>368</v>
      </c>
      <c r="J1" s="83" t="s">
        <v>369</v>
      </c>
      <c r="K1" s="83" t="s">
        <v>14</v>
      </c>
      <c r="M1" t="s">
        <v>370</v>
      </c>
    </row>
    <row r="2" spans="1:13" x14ac:dyDescent="0.25">
      <c r="A2" t="s">
        <v>371</v>
      </c>
      <c r="C2" s="105" t="str">
        <f t="shared" ref="C2:C19" si="0">D2&amp;", "&amp;E2</f>
        <v>Dummy, 01, 00000001</v>
      </c>
      <c r="D2" s="125" t="s">
        <v>788</v>
      </c>
      <c r="E2" s="140" t="s">
        <v>806</v>
      </c>
      <c r="F2" s="126">
        <v>1</v>
      </c>
      <c r="G2" s="125" t="s">
        <v>372</v>
      </c>
      <c r="H2" s="105">
        <v>50</v>
      </c>
      <c r="I2" s="105">
        <v>50</v>
      </c>
      <c r="J2" s="65">
        <f>IF(ISNUMBER(Staff_Name[[#This Row],[FTE]]),H2/(H2+I2),"N/A")</f>
        <v>0.5</v>
      </c>
      <c r="K2" s="30" t="str">
        <f>IF(ISNUMBER(Staff_Name[[#This Row],[FTE]]),IF(J2&lt;=0.2,"Research Focused",IF(J2&lt;=0.79,"Balanced Teaching &amp; Research",IF(J2&lt;=1,"Teaching Focused",""))),"N/A")</f>
        <v>Balanced Teaching &amp; Research</v>
      </c>
      <c r="M2" t="str" cm="1">
        <f t="array" ref="M2">_xlfn._xlws.FILTER(Staff_Name[Staff Member],ISNUMBER(SEARCH('Data Entry - Teaching'!$C$1,Staff_Name[Staff Member]))*('Data Entry - Teaching'!$C$1&lt;&gt;""),"No results")</f>
        <v>No results</v>
      </c>
    </row>
    <row r="3" spans="1:13" x14ac:dyDescent="0.25">
      <c r="A3" t="s">
        <v>373</v>
      </c>
      <c r="C3" s="105" t="str">
        <f t="shared" si="0"/>
        <v>Dummy, 02, 00000002</v>
      </c>
      <c r="D3" s="125" t="s">
        <v>789</v>
      </c>
      <c r="E3" s="140" t="s">
        <v>807</v>
      </c>
      <c r="F3" s="126">
        <v>0.92</v>
      </c>
      <c r="G3" s="125" t="s">
        <v>372</v>
      </c>
      <c r="H3" s="105">
        <v>50</v>
      </c>
      <c r="I3" s="105">
        <v>50</v>
      </c>
      <c r="J3" s="65">
        <f>IF(ISNUMBER(Staff_Name[[#This Row],[FTE]]),H3/(H3+I3),"N/A")</f>
        <v>0.5</v>
      </c>
      <c r="K3" s="30" t="str">
        <f>IF(ISNUMBER(Staff_Name[[#This Row],[FTE]]),IF(J3&lt;=0.2,"Research Focused",IF(J3&lt;=0.79,"Balanced Teaching &amp; Research",IF(J3&lt;=1,"Teaching Focused",""))),"N/A")</f>
        <v>Balanced Teaching &amp; Research</v>
      </c>
    </row>
    <row r="4" spans="1:13" x14ac:dyDescent="0.25">
      <c r="A4" t="s">
        <v>374</v>
      </c>
      <c r="C4" s="105" t="str">
        <f t="shared" si="0"/>
        <v>Dummy, 03, 00000003</v>
      </c>
      <c r="D4" s="125" t="s">
        <v>790</v>
      </c>
      <c r="E4" s="140" t="s">
        <v>808</v>
      </c>
      <c r="F4" s="126">
        <v>0.92</v>
      </c>
      <c r="G4" s="125" t="s">
        <v>372</v>
      </c>
      <c r="H4" s="105">
        <v>50</v>
      </c>
      <c r="I4" s="105">
        <v>50</v>
      </c>
      <c r="J4" s="65">
        <f>IF(ISNUMBER(Staff_Name[[#This Row],[FTE]]),H4/(H4+I4),"N/A")</f>
        <v>0.5</v>
      </c>
      <c r="K4" s="30" t="str">
        <f>IF(ISNUMBER(Staff_Name[[#This Row],[FTE]]),IF(J4&lt;=0.2,"Research Focused",IF(J4&lt;=0.79,"Balanced Teaching &amp; Research",IF(J4&lt;=1,"Teaching Focused",""))),"N/A")</f>
        <v>Balanced Teaching &amp; Research</v>
      </c>
    </row>
    <row r="5" spans="1:13" x14ac:dyDescent="0.25">
      <c r="A5" t="s">
        <v>375</v>
      </c>
      <c r="C5" s="105" t="str">
        <f t="shared" si="0"/>
        <v>Dummy, 04, 00000004</v>
      </c>
      <c r="D5" s="125" t="s">
        <v>791</v>
      </c>
      <c r="E5" s="140" t="s">
        <v>809</v>
      </c>
      <c r="F5" s="126">
        <v>1</v>
      </c>
      <c r="G5" s="125" t="s">
        <v>372</v>
      </c>
      <c r="H5" s="105">
        <v>50</v>
      </c>
      <c r="I5" s="105">
        <v>50</v>
      </c>
      <c r="J5" s="65">
        <f>IF(ISNUMBER(Staff_Name[[#This Row],[FTE]]),H5/(H5+I5),"N/A")</f>
        <v>0.5</v>
      </c>
      <c r="K5" s="30" t="str">
        <f>IF(ISNUMBER(Staff_Name[[#This Row],[FTE]]),IF(J5&lt;=0.2,"Research Focused",IF(J5&lt;=0.79,"Balanced Teaching &amp; Research",IF(J5&lt;=1,"Teaching Focused",""))),"N/A")</f>
        <v>Balanced Teaching &amp; Research</v>
      </c>
    </row>
    <row r="6" spans="1:13" x14ac:dyDescent="0.25">
      <c r="A6" t="s">
        <v>221</v>
      </c>
      <c r="C6" s="105" t="str">
        <f t="shared" si="0"/>
        <v>Dummy, 05, 00000005</v>
      </c>
      <c r="D6" s="125" t="s">
        <v>792</v>
      </c>
      <c r="E6" s="140" t="s">
        <v>810</v>
      </c>
      <c r="F6" s="126">
        <v>1</v>
      </c>
      <c r="G6" s="125" t="s">
        <v>372</v>
      </c>
      <c r="H6" s="105">
        <v>50</v>
      </c>
      <c r="I6" s="105">
        <v>50</v>
      </c>
      <c r="J6" s="65">
        <f>IF(ISNUMBER(Staff_Name[[#This Row],[FTE]]),H6/(H6+I6),"N/A")</f>
        <v>0.5</v>
      </c>
      <c r="K6" s="30" t="str">
        <f>IF(ISNUMBER(Staff_Name[[#This Row],[FTE]]),IF(J6&lt;=0.2,"Research Focused",IF(J6&lt;=0.79,"Balanced Teaching &amp; Research",IF(J6&lt;=1,"Teaching Focused",""))),"N/A")</f>
        <v>Balanced Teaching &amp; Research</v>
      </c>
    </row>
    <row r="7" spans="1:13" x14ac:dyDescent="0.25">
      <c r="C7" s="105" t="str">
        <f t="shared" si="0"/>
        <v>Dummy, 06, 00000006</v>
      </c>
      <c r="D7" s="125" t="s">
        <v>793</v>
      </c>
      <c r="E7" s="140" t="s">
        <v>811</v>
      </c>
      <c r="F7" s="126">
        <v>1</v>
      </c>
      <c r="G7" s="125" t="s">
        <v>372</v>
      </c>
      <c r="H7" s="105">
        <v>50</v>
      </c>
      <c r="I7" s="105">
        <v>50</v>
      </c>
      <c r="J7" s="65">
        <f>IF(ISNUMBER(Staff_Name[[#This Row],[FTE]]),H7/(H7+I7),"N/A")</f>
        <v>0.5</v>
      </c>
      <c r="K7" s="30" t="str">
        <f>IF(ISNUMBER(Staff_Name[[#This Row],[FTE]]),IF(J7&lt;=0.2,"Research Focused",IF(J7&lt;=0.79,"Balanced Teaching &amp; Research",IF(J7&lt;=1,"Teaching Focused",""))),"N/A")</f>
        <v>Balanced Teaching &amp; Research</v>
      </c>
    </row>
    <row r="8" spans="1:13" x14ac:dyDescent="0.25">
      <c r="C8" s="105" t="str">
        <f t="shared" si="0"/>
        <v>Dummy, 07, 00000007</v>
      </c>
      <c r="D8" s="125" t="s">
        <v>794</v>
      </c>
      <c r="E8" s="140" t="s">
        <v>812</v>
      </c>
      <c r="F8" s="126">
        <v>1</v>
      </c>
      <c r="G8" s="125" t="s">
        <v>376</v>
      </c>
      <c r="H8" s="105">
        <v>0</v>
      </c>
      <c r="I8" s="105">
        <v>100</v>
      </c>
      <c r="J8" s="65">
        <f>IF(ISNUMBER(Staff_Name[[#This Row],[FTE]]),H8/(H8+I8),"N/A")</f>
        <v>0</v>
      </c>
      <c r="K8" s="30" t="str">
        <f>IF(ISNUMBER(Staff_Name[[#This Row],[FTE]]),IF(J8&lt;=0.2,"Research Focused",IF(J8&lt;=0.79,"Balanced Teaching &amp; Research",IF(J8&lt;=1,"Teaching Focused",""))),"N/A")</f>
        <v>Research Focused</v>
      </c>
    </row>
    <row r="9" spans="1:13" x14ac:dyDescent="0.25">
      <c r="C9" s="105" t="str">
        <f t="shared" si="0"/>
        <v>Dummy, 08, 00000008</v>
      </c>
      <c r="D9" s="125" t="s">
        <v>795</v>
      </c>
      <c r="E9" s="140" t="s">
        <v>813</v>
      </c>
      <c r="F9" s="126">
        <v>1</v>
      </c>
      <c r="G9" s="125" t="s">
        <v>372</v>
      </c>
      <c r="H9" s="105">
        <v>50</v>
      </c>
      <c r="I9" s="105">
        <v>50</v>
      </c>
      <c r="J9" s="65">
        <f>IF(ISNUMBER(Staff_Name[[#This Row],[FTE]]),H9/(H9+I9),"N/A")</f>
        <v>0.5</v>
      </c>
      <c r="K9" s="30" t="str">
        <f>IF(ISNUMBER(Staff_Name[[#This Row],[FTE]]),IF(J9&lt;=0.2,"Research Focused",IF(J9&lt;=0.79,"Balanced Teaching &amp; Research",IF(J9&lt;=1,"Teaching Focused",""))),"N/A")</f>
        <v>Balanced Teaching &amp; Research</v>
      </c>
    </row>
    <row r="10" spans="1:13" x14ac:dyDescent="0.25">
      <c r="C10" s="105" t="str">
        <f t="shared" si="0"/>
        <v>Dummy, 09, 00000009</v>
      </c>
      <c r="D10" s="125" t="s">
        <v>796</v>
      </c>
      <c r="E10" s="140" t="s">
        <v>814</v>
      </c>
      <c r="F10" s="126">
        <v>1</v>
      </c>
      <c r="G10" s="125" t="s">
        <v>372</v>
      </c>
      <c r="H10" s="105">
        <v>50</v>
      </c>
      <c r="I10" s="105">
        <v>50</v>
      </c>
      <c r="J10" s="65">
        <f>IF(ISNUMBER(Staff_Name[[#This Row],[FTE]]),H10/(H10+I10),"N/A")</f>
        <v>0.5</v>
      </c>
      <c r="K10" s="30" t="str">
        <f>IF(ISNUMBER(Staff_Name[[#This Row],[FTE]]),IF(J10&lt;=0.2,"Research Focused",IF(J10&lt;=0.79,"Balanced Teaching &amp; Research",IF(J10&lt;=1,"Teaching Focused",""))),"N/A")</f>
        <v>Balanced Teaching &amp; Research</v>
      </c>
    </row>
    <row r="11" spans="1:13" x14ac:dyDescent="0.25">
      <c r="C11" s="105" t="str">
        <f t="shared" si="0"/>
        <v>Dummy, 10, 00000010</v>
      </c>
      <c r="D11" s="125" t="s">
        <v>797</v>
      </c>
      <c r="E11" s="140" t="s">
        <v>815</v>
      </c>
      <c r="F11" s="126">
        <v>1</v>
      </c>
      <c r="G11" s="125" t="s">
        <v>376</v>
      </c>
      <c r="H11" s="105">
        <v>0</v>
      </c>
      <c r="I11" s="105">
        <v>100</v>
      </c>
      <c r="J11" s="65">
        <f>IF(ISNUMBER(Staff_Name[[#This Row],[FTE]]),H11/(H11+I11),"N/A")</f>
        <v>0</v>
      </c>
      <c r="K11" s="30" t="str">
        <f>IF(ISNUMBER(Staff_Name[[#This Row],[FTE]]),IF(J11&lt;=0.2,"Research Focused",IF(J11&lt;=0.79,"Balanced Teaching &amp; Research",IF(J11&lt;=1,"Teaching Focused",""))),"N/A")</f>
        <v>Research Focused</v>
      </c>
    </row>
    <row r="12" spans="1:13" x14ac:dyDescent="0.25">
      <c r="C12" s="105" t="str">
        <f t="shared" si="0"/>
        <v>Dummy, 11, 00000011</v>
      </c>
      <c r="D12" s="125" t="s">
        <v>798</v>
      </c>
      <c r="E12" s="140" t="s">
        <v>816</v>
      </c>
      <c r="F12" s="126">
        <v>1</v>
      </c>
      <c r="G12" s="125" t="s">
        <v>372</v>
      </c>
      <c r="H12" s="105">
        <v>50</v>
      </c>
      <c r="I12" s="105">
        <v>50</v>
      </c>
      <c r="J12" s="65">
        <f>IF(ISNUMBER(Staff_Name[[#This Row],[FTE]]),H12/(H12+I12),"N/A")</f>
        <v>0.5</v>
      </c>
      <c r="K12" s="30" t="str">
        <f>IF(ISNUMBER(Staff_Name[[#This Row],[FTE]]),IF(J12&lt;=0.2,"Research Focused",IF(J12&lt;=0.79,"Balanced Teaching &amp; Research",IF(J12&lt;=1,"Teaching Focused",""))),"N/A")</f>
        <v>Balanced Teaching &amp; Research</v>
      </c>
    </row>
    <row r="13" spans="1:13" x14ac:dyDescent="0.25">
      <c r="C13" s="105" t="str">
        <f t="shared" si="0"/>
        <v>Dummy, 12, 00000012</v>
      </c>
      <c r="D13" s="125" t="s">
        <v>799</v>
      </c>
      <c r="E13" s="140" t="s">
        <v>817</v>
      </c>
      <c r="F13" s="126">
        <v>1</v>
      </c>
      <c r="G13" s="125" t="s">
        <v>372</v>
      </c>
      <c r="H13" s="105">
        <v>50</v>
      </c>
      <c r="I13" s="105">
        <v>50</v>
      </c>
      <c r="J13" s="65">
        <f>IF(ISNUMBER(Staff_Name[[#This Row],[FTE]]),H13/(H13+I13),"N/A")</f>
        <v>0.5</v>
      </c>
      <c r="K13" s="30" t="str">
        <f>IF(ISNUMBER(Staff_Name[[#This Row],[FTE]]),IF(J13&lt;=0.2,"Research Focused",IF(J13&lt;=0.79,"Balanced Teaching &amp; Research",IF(J13&lt;=1,"Teaching Focused",""))),"N/A")</f>
        <v>Balanced Teaching &amp; Research</v>
      </c>
    </row>
    <row r="14" spans="1:13" x14ac:dyDescent="0.25">
      <c r="C14" s="105" t="str">
        <f t="shared" si="0"/>
        <v>Dummy, 13, 00000013</v>
      </c>
      <c r="D14" s="125" t="s">
        <v>800</v>
      </c>
      <c r="E14" s="140" t="s">
        <v>818</v>
      </c>
      <c r="F14" s="126">
        <v>1</v>
      </c>
      <c r="G14" s="125" t="s">
        <v>372</v>
      </c>
      <c r="H14" s="105">
        <v>50</v>
      </c>
      <c r="I14" s="105">
        <v>50</v>
      </c>
      <c r="J14" s="65">
        <f>IF(ISNUMBER(Staff_Name[[#This Row],[FTE]]),H14/(H14+I14),"N/A")</f>
        <v>0.5</v>
      </c>
      <c r="K14" s="30" t="str">
        <f>IF(ISNUMBER(Staff_Name[[#This Row],[FTE]]),IF(J14&lt;=0.2,"Research Focused",IF(J14&lt;=0.79,"Balanced Teaching &amp; Research",IF(J14&lt;=1,"Teaching Focused",""))),"N/A")</f>
        <v>Balanced Teaching &amp; Research</v>
      </c>
    </row>
    <row r="15" spans="1:13" x14ac:dyDescent="0.25">
      <c r="C15" s="105" t="str">
        <f t="shared" si="0"/>
        <v>Dummy, 14, 00000014</v>
      </c>
      <c r="D15" s="125" t="s">
        <v>801</v>
      </c>
      <c r="E15" s="140" t="s">
        <v>819</v>
      </c>
      <c r="F15" s="126">
        <v>1</v>
      </c>
      <c r="G15" s="125" t="s">
        <v>377</v>
      </c>
      <c r="H15" s="105">
        <v>90</v>
      </c>
      <c r="I15" s="105">
        <v>10</v>
      </c>
      <c r="J15" s="65">
        <f>IF(ISNUMBER(Staff_Name[[#This Row],[FTE]]),H15/(H15+I15),"N/A")</f>
        <v>0.9</v>
      </c>
      <c r="K15" s="30" t="str">
        <f>IF(ISNUMBER(Staff_Name[[#This Row],[FTE]]),IF(J15&lt;=0.2,"Research Focused",IF(J15&lt;=0.79,"Balanced Teaching &amp; Research",IF(J15&lt;=1,"Teaching Focused",""))),"N/A")</f>
        <v>Teaching Focused</v>
      </c>
    </row>
    <row r="16" spans="1:13" x14ac:dyDescent="0.25">
      <c r="C16" s="105" t="str">
        <f t="shared" si="0"/>
        <v>Dummy, 15, 00000015</v>
      </c>
      <c r="D16" s="125" t="s">
        <v>802</v>
      </c>
      <c r="E16" s="140" t="s">
        <v>820</v>
      </c>
      <c r="F16" s="126">
        <v>1</v>
      </c>
      <c r="G16" s="125" t="s">
        <v>372</v>
      </c>
      <c r="H16" s="105">
        <v>50</v>
      </c>
      <c r="I16" s="105">
        <v>50</v>
      </c>
      <c r="J16" s="65">
        <f>IF(ISNUMBER(Staff_Name[[#This Row],[FTE]]),H16/(H16+I16),"N/A")</f>
        <v>0.5</v>
      </c>
      <c r="K16" s="30" t="str">
        <f>IF(ISNUMBER(Staff_Name[[#This Row],[FTE]]),IF(J16&lt;=0.2,"Research Focused",IF(J16&lt;=0.79,"Balanced Teaching &amp; Research",IF(J16&lt;=1,"Teaching Focused",""))),"N/A")</f>
        <v>Balanced Teaching &amp; Research</v>
      </c>
    </row>
    <row r="17" spans="1:11" x14ac:dyDescent="0.25">
      <c r="C17" s="105" t="str">
        <f t="shared" si="0"/>
        <v>Dummy, 16, 00000016</v>
      </c>
      <c r="D17" s="125" t="s">
        <v>803</v>
      </c>
      <c r="E17" s="140" t="s">
        <v>821</v>
      </c>
      <c r="F17" s="126">
        <v>0.96</v>
      </c>
      <c r="G17" s="125" t="s">
        <v>372</v>
      </c>
      <c r="H17" s="105">
        <v>50</v>
      </c>
      <c r="I17" s="105">
        <v>50</v>
      </c>
      <c r="J17" s="65">
        <f>IF(ISNUMBER(Staff_Name[[#This Row],[FTE]]),H17/(H17+I17),"N/A")</f>
        <v>0.5</v>
      </c>
      <c r="K17" s="30" t="str">
        <f>IF(ISNUMBER(Staff_Name[[#This Row],[FTE]]),IF(J17&lt;=0.2,"Research Focused",IF(J17&lt;=0.79,"Balanced Teaching &amp; Research",IF(J17&lt;=1,"Teaching Focused",""))),"N/A")</f>
        <v>Balanced Teaching &amp; Research</v>
      </c>
    </row>
    <row r="18" spans="1:11" x14ac:dyDescent="0.25">
      <c r="C18" s="105" t="str">
        <f t="shared" si="0"/>
        <v>Dummy, 17, 00000017</v>
      </c>
      <c r="D18" s="125" t="s">
        <v>804</v>
      </c>
      <c r="E18" s="140" t="s">
        <v>822</v>
      </c>
      <c r="F18" s="126">
        <v>0.8</v>
      </c>
      <c r="G18" s="125" t="s">
        <v>372</v>
      </c>
      <c r="H18" s="105">
        <v>50</v>
      </c>
      <c r="I18" s="105">
        <v>50</v>
      </c>
      <c r="J18" s="65">
        <f>IF(ISNUMBER(Staff_Name[[#This Row],[FTE]]),H18/(H18+I18),"N/A")</f>
        <v>0.5</v>
      </c>
      <c r="K18" s="30" t="str">
        <f>IF(ISNUMBER(Staff_Name[[#This Row],[FTE]]),IF(J18&lt;=0.2,"Research Focused",IF(J18&lt;=0.79,"Balanced Teaching &amp; Research",IF(J18&lt;=1,"Teaching Focused",""))),"N/A")</f>
        <v>Balanced Teaching &amp; Research</v>
      </c>
    </row>
    <row r="19" spans="1:11" x14ac:dyDescent="0.25">
      <c r="C19" s="105" t="str">
        <f t="shared" si="0"/>
        <v>Dummy, 18, 00000018</v>
      </c>
      <c r="D19" s="125" t="s">
        <v>805</v>
      </c>
      <c r="E19" s="140" t="s">
        <v>823</v>
      </c>
      <c r="F19" s="126">
        <v>1</v>
      </c>
      <c r="G19" s="125" t="s">
        <v>376</v>
      </c>
      <c r="H19" s="105">
        <v>0</v>
      </c>
      <c r="I19" s="105">
        <v>100</v>
      </c>
      <c r="J19" s="65">
        <f>IF(ISNUMBER(Staff_Name[[#This Row],[FTE]]),H19/(H19+I19),"N/A")</f>
        <v>0</v>
      </c>
      <c r="K19" s="30" t="str">
        <f>IF(ISNUMBER(Staff_Name[[#This Row],[FTE]]),IF(J19&lt;=0.2,"Research Focused",IF(J19&lt;=0.79,"Balanced Teaching &amp; Research",IF(J19&lt;=1,"Teaching Focused",""))),"N/A")</f>
        <v>Research Focused</v>
      </c>
    </row>
    <row r="20" spans="1:11" x14ac:dyDescent="0.25">
      <c r="A20" s="128"/>
      <c r="C20" s="128" t="str">
        <f t="shared" ref="C20:C22" si="1">D20&amp;", "&amp;E20</f>
        <v>Academic NA, Paid casual staff</v>
      </c>
      <c r="D20" s="128" t="s">
        <v>378</v>
      </c>
      <c r="E20" s="128" t="s">
        <v>371</v>
      </c>
      <c r="F20" s="128" t="s">
        <v>379</v>
      </c>
      <c r="G20" s="128" t="s">
        <v>379</v>
      </c>
      <c r="H20" s="128" t="s">
        <v>379</v>
      </c>
      <c r="I20" s="128" t="s">
        <v>379</v>
      </c>
      <c r="J20" s="65" t="str">
        <f>IF(ISNUMBER(Staff_Name[[#This Row],[FTE]]),H20/(H20+I20),"N/A")</f>
        <v>N/A</v>
      </c>
      <c r="K20" s="30" t="str">
        <f>IF(ISNUMBER(Staff_Name[[#This Row],[FTE]]),IF(J20&lt;=0.2,"Research Focused",IF(J20&lt;=0.79,"Balanced Teaching &amp; Research",IF(J20&lt;=1,"Teaching Focused",""))),"N/A")</f>
        <v>N/A</v>
      </c>
    </row>
    <row r="21" spans="1:11" x14ac:dyDescent="0.25">
      <c r="A21" s="129"/>
      <c r="C21" s="129" t="str">
        <f t="shared" si="1"/>
        <v>Academic NA, Professional staff performing academic duties</v>
      </c>
      <c r="D21" s="129" t="s">
        <v>378</v>
      </c>
      <c r="E21" s="129" t="s">
        <v>373</v>
      </c>
      <c r="F21" s="129" t="s">
        <v>379</v>
      </c>
      <c r="G21" s="129" t="s">
        <v>379</v>
      </c>
      <c r="H21" s="129" t="s">
        <v>379</v>
      </c>
      <c r="I21" s="129" t="s">
        <v>379</v>
      </c>
      <c r="J21" s="65" t="str">
        <f>IF(ISNUMBER(Staff_Name[[#This Row],[FTE]]),H21/(H21+I21),"N/A")</f>
        <v>N/A</v>
      </c>
      <c r="K21" s="30" t="str">
        <f>IF(ISNUMBER(Staff_Name[[#This Row],[FTE]]),IF(J21&lt;=0.2,"Research Focused",IF(J21&lt;=0.79,"Balanced Teaching &amp; Research",IF(J21&lt;=1,"Teaching Focused",""))),"N/A")</f>
        <v>N/A</v>
      </c>
    </row>
    <row r="22" spans="1:11" x14ac:dyDescent="0.25">
      <c r="A22" s="128"/>
      <c r="C22" s="128" t="str">
        <f t="shared" si="1"/>
        <v>Academic NA, Paid external/emeritus/off-load contributers</v>
      </c>
      <c r="D22" s="128" t="s">
        <v>378</v>
      </c>
      <c r="E22" s="128" t="s">
        <v>374</v>
      </c>
      <c r="F22" s="128" t="s">
        <v>379</v>
      </c>
      <c r="G22" s="128" t="s">
        <v>379</v>
      </c>
      <c r="H22" s="128" t="s">
        <v>379</v>
      </c>
      <c r="I22" s="128" t="s">
        <v>379</v>
      </c>
      <c r="J22" s="65" t="str">
        <f>IF(ISNUMBER(Staff_Name[[#This Row],[FTE]]),H22/(H22+I22),"N/A")</f>
        <v>N/A</v>
      </c>
      <c r="K22" s="30" t="str">
        <f>IF(ISNUMBER(Staff_Name[[#This Row],[FTE]]),IF(J22&lt;=0.2,"Research Focused",IF(J22&lt;=0.79,"Balanced Teaching &amp; Research",IF(J22&lt;=1,"Teaching Focused",""))),"N/A")</f>
        <v>N/A</v>
      </c>
    </row>
    <row r="23" spans="1:11" x14ac:dyDescent="0.25">
      <c r="A23" s="152"/>
      <c r="C23" s="129" t="str">
        <f t="shared" ref="C23" si="2">D23&amp;", "&amp;E23</f>
        <v>Academic NA, Unpaid external/emeritus/off-load contributers</v>
      </c>
      <c r="D23" s="129" t="s">
        <v>378</v>
      </c>
      <c r="E23" s="129" t="s">
        <v>375</v>
      </c>
      <c r="F23" s="129" t="s">
        <v>379</v>
      </c>
      <c r="G23" s="129" t="s">
        <v>379</v>
      </c>
      <c r="H23" s="129" t="s">
        <v>379</v>
      </c>
      <c r="I23" s="129" t="s">
        <v>379</v>
      </c>
      <c r="J23" s="65" t="str">
        <f>IF(ISNUMBER(Staff_Name[[#This Row],[FTE]]),H23/(H23+I23),"N/A")</f>
        <v>N/A</v>
      </c>
      <c r="K23" s="30" t="str">
        <f>IF(ISNUMBER(Staff_Name[[#This Row],[FTE]]),IF(J23&lt;=0.2,"Research Focused",IF(J23&lt;=0.79,"Balanced Teaching &amp; Research",IF(J23&lt;=1,"Teaching Focused",""))),"N/A")</f>
        <v>N/A</v>
      </c>
    </row>
    <row r="24" spans="1:11" x14ac:dyDescent="0.25">
      <c r="C24" s="105" t="str">
        <f t="shared" ref="C24" si="3">D24&amp;", "&amp;E24</f>
        <v xml:space="preserve">, </v>
      </c>
      <c r="D24" s="127"/>
      <c r="E24" s="149"/>
      <c r="F24" s="147"/>
      <c r="G24" s="127"/>
      <c r="H24" s="105"/>
      <c r="I24" s="105"/>
      <c r="J24" s="105"/>
      <c r="K24" s="30"/>
    </row>
    <row r="25" spans="1:11" x14ac:dyDescent="0.25">
      <c r="C25" s="105"/>
      <c r="D25" s="127"/>
      <c r="E25" s="149"/>
      <c r="F25" s="147"/>
      <c r="G25" s="127"/>
      <c r="H25" s="105"/>
      <c r="I25" s="105"/>
      <c r="J25" s="105"/>
      <c r="K25" s="30"/>
    </row>
    <row r="26" spans="1:11" x14ac:dyDescent="0.25">
      <c r="C26" s="105"/>
      <c r="D26" s="127"/>
      <c r="E26" s="149"/>
      <c r="F26" s="147"/>
      <c r="G26" s="127"/>
      <c r="H26" s="105"/>
      <c r="I26" s="105"/>
      <c r="J26" s="105"/>
      <c r="K26" s="30"/>
    </row>
    <row r="27" spans="1:11" x14ac:dyDescent="0.25">
      <c r="C27" s="105"/>
      <c r="D27" s="127"/>
      <c r="E27" s="149"/>
      <c r="F27" s="147"/>
      <c r="G27" s="127"/>
      <c r="H27" s="105"/>
      <c r="I27" s="105"/>
      <c r="J27" s="105"/>
      <c r="K27" s="30"/>
    </row>
    <row r="28" spans="1:11" x14ac:dyDescent="0.25">
      <c r="C28" s="105"/>
      <c r="D28" s="127"/>
      <c r="E28" s="149"/>
      <c r="F28" s="147"/>
      <c r="G28" s="127"/>
      <c r="H28" s="105"/>
      <c r="I28" s="105"/>
      <c r="J28" s="105"/>
      <c r="K28" s="30"/>
    </row>
    <row r="29" spans="1:11" x14ac:dyDescent="0.25">
      <c r="C29" s="105"/>
      <c r="D29" s="127"/>
      <c r="E29" s="149"/>
      <c r="F29" s="147"/>
      <c r="G29" s="127"/>
      <c r="H29" s="105"/>
      <c r="I29" s="105"/>
      <c r="J29" s="105"/>
      <c r="K29" s="30"/>
    </row>
    <row r="30" spans="1:11" x14ac:dyDescent="0.25">
      <c r="C30" s="105"/>
      <c r="D30" s="127"/>
      <c r="E30" s="149"/>
      <c r="F30" s="147"/>
      <c r="G30" s="127"/>
      <c r="H30" s="105"/>
      <c r="I30" s="105"/>
      <c r="J30" s="105"/>
      <c r="K30" s="30"/>
    </row>
    <row r="31" spans="1:11" x14ac:dyDescent="0.25">
      <c r="C31" s="105"/>
      <c r="D31" s="127"/>
      <c r="E31" s="149"/>
      <c r="F31" s="147"/>
      <c r="G31" s="127"/>
      <c r="H31" s="105"/>
      <c r="I31" s="105"/>
      <c r="J31" s="105"/>
      <c r="K31" s="30"/>
    </row>
    <row r="32" spans="1:11" x14ac:dyDescent="0.25">
      <c r="C32" s="105"/>
      <c r="D32" s="127"/>
      <c r="E32" s="149"/>
      <c r="F32" s="147"/>
      <c r="G32" s="127"/>
      <c r="H32" s="105"/>
      <c r="I32" s="105"/>
      <c r="J32" s="105"/>
      <c r="K32" s="30"/>
    </row>
    <row r="33" spans="3:11" x14ac:dyDescent="0.25">
      <c r="C33" s="105"/>
      <c r="D33" s="127"/>
      <c r="E33" s="149"/>
      <c r="F33" s="147"/>
      <c r="G33" s="127"/>
      <c r="H33" s="105"/>
      <c r="I33" s="105"/>
      <c r="J33" s="105"/>
      <c r="K33" s="30"/>
    </row>
    <row r="34" spans="3:11" x14ac:dyDescent="0.25">
      <c r="C34" s="105"/>
      <c r="D34" s="127"/>
      <c r="E34" s="149"/>
      <c r="F34" s="147"/>
      <c r="G34" s="127"/>
      <c r="H34" s="105"/>
      <c r="I34" s="105"/>
      <c r="J34" s="105"/>
      <c r="K34" s="30"/>
    </row>
    <row r="35" spans="3:11" x14ac:dyDescent="0.25">
      <c r="C35" s="105"/>
      <c r="D35" s="127"/>
      <c r="E35" s="149"/>
      <c r="F35" s="147"/>
      <c r="G35" s="127"/>
      <c r="H35" s="105"/>
      <c r="I35" s="105"/>
      <c r="J35" s="105"/>
      <c r="K35" s="30"/>
    </row>
    <row r="36" spans="3:11" x14ac:dyDescent="0.25">
      <c r="C36" s="105"/>
      <c r="D36" s="127"/>
      <c r="E36" s="149"/>
      <c r="F36" s="147"/>
      <c r="G36" s="127"/>
      <c r="H36" s="105"/>
      <c r="I36" s="105"/>
      <c r="J36" s="105"/>
      <c r="K36" s="30"/>
    </row>
  </sheetData>
  <sheetProtection formatCells="0" autoFilter="0" pivotTables="0"/>
  <phoneticPr fontId="5" type="noConversion"/>
  <conditionalFormatting sqref="C24:C1048576 C1">
    <cfRule type="duplicateValues" dxfId="8" priority="8"/>
  </conditionalFormatting>
  <conditionalFormatting sqref="C20:C23">
    <cfRule type="duplicateValues" dxfId="7" priority="3"/>
  </conditionalFormatting>
  <conditionalFormatting sqref="A20:A23">
    <cfRule type="duplicateValues" dxfId="6" priority="1"/>
  </conditionalFormatting>
  <conditionalFormatting sqref="A20:A23">
    <cfRule type="duplicateValues" dxfId="5" priority="2"/>
  </conditionalFormatting>
  <conditionalFormatting sqref="C2:C36">
    <cfRule type="duplicateValues" dxfId="4" priority="30"/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FCEF-F2F1-434A-9585-879602619588}">
  <sheetPr codeName="Sheet11"/>
  <dimension ref="A1:I61"/>
  <sheetViews>
    <sheetView zoomScaleNormal="100" workbookViewId="0">
      <pane ySplit="1" topLeftCell="A2" activePane="bottomLeft" state="frozen"/>
      <selection pane="bottomLeft" activeCell="A20" sqref="A20"/>
    </sheetView>
  </sheetViews>
  <sheetFormatPr defaultRowHeight="15" x14ac:dyDescent="0.25"/>
  <cols>
    <col min="1" max="1" width="60.5703125" customWidth="1"/>
    <col min="2" max="2" width="59.140625" style="21" bestFit="1" customWidth="1"/>
    <col min="3" max="3" width="18.7109375" customWidth="1"/>
    <col min="4" max="4" width="8.5703125" style="21" bestFit="1" customWidth="1"/>
    <col min="5" max="5" width="54" customWidth="1"/>
    <col min="6" max="6" width="24.42578125" customWidth="1"/>
    <col min="7" max="7" width="50.7109375" customWidth="1"/>
    <col min="8" max="8" width="10.85546875" customWidth="1"/>
    <col min="9" max="9" width="99.85546875" customWidth="1"/>
  </cols>
  <sheetData>
    <row r="1" spans="1:9" x14ac:dyDescent="0.25">
      <c r="A1" s="1" t="s">
        <v>704</v>
      </c>
      <c r="B1" s="1" t="s">
        <v>705</v>
      </c>
      <c r="C1" s="3" t="s">
        <v>350</v>
      </c>
      <c r="D1" s="1" t="s">
        <v>349</v>
      </c>
      <c r="E1" s="3" t="s">
        <v>706</v>
      </c>
      <c r="F1" s="1" t="s">
        <v>707</v>
      </c>
      <c r="G1" t="s">
        <v>708</v>
      </c>
      <c r="I1" s="1" t="s">
        <v>709</v>
      </c>
    </row>
    <row r="2" spans="1:9" ht="30" x14ac:dyDescent="0.25">
      <c r="A2" s="105" t="s">
        <v>710</v>
      </c>
      <c r="B2" s="105" t="s">
        <v>283</v>
      </c>
      <c r="C2" s="119">
        <v>863</v>
      </c>
      <c r="D2" s="139">
        <v>70</v>
      </c>
      <c r="E2" s="118" t="s">
        <v>711</v>
      </c>
      <c r="F2" s="105" t="s">
        <v>712</v>
      </c>
      <c r="I2" s="21" t="str" cm="1">
        <f t="array" ref="I2">_xlfn._xlws.FILTER(Roles[ASSSIGNED ROLE],ISNUMBER(SEARCH('Data Entry - Assigned Role'!$D$1,Roles[ASSSIGNED ROLE]))*('Data Entry - Assigned Role'!$D$1&lt;&gt;""),"No results")</f>
        <v>No results</v>
      </c>
    </row>
    <row r="3" spans="1:9" x14ac:dyDescent="0.25">
      <c r="A3" s="105" t="s">
        <v>710</v>
      </c>
      <c r="B3" s="105" t="s">
        <v>250</v>
      </c>
      <c r="C3" s="119" t="s">
        <v>713</v>
      </c>
      <c r="D3" s="139">
        <v>40</v>
      </c>
      <c r="E3" s="118" t="s">
        <v>714</v>
      </c>
      <c r="F3" s="105" t="s">
        <v>714</v>
      </c>
      <c r="I3" s="21"/>
    </row>
    <row r="4" spans="1:9" x14ac:dyDescent="0.25">
      <c r="A4" s="105" t="s">
        <v>715</v>
      </c>
      <c r="B4" s="105" t="s">
        <v>716</v>
      </c>
      <c r="C4" s="119" t="s">
        <v>717</v>
      </c>
      <c r="D4" s="139">
        <v>0</v>
      </c>
      <c r="E4" s="118" t="s">
        <v>718</v>
      </c>
      <c r="F4" s="105"/>
      <c r="I4" s="21"/>
    </row>
    <row r="5" spans="1:9" x14ac:dyDescent="0.25">
      <c r="A5" s="105" t="s">
        <v>719</v>
      </c>
      <c r="B5" s="105" t="s">
        <v>281</v>
      </c>
      <c r="C5" s="119" t="s">
        <v>720</v>
      </c>
      <c r="D5" s="139">
        <v>7.8</v>
      </c>
      <c r="E5" s="118" t="s">
        <v>721</v>
      </c>
      <c r="F5" s="105" t="s">
        <v>722</v>
      </c>
      <c r="I5" s="21"/>
    </row>
    <row r="6" spans="1:9" x14ac:dyDescent="0.25">
      <c r="A6" s="105" t="s">
        <v>719</v>
      </c>
      <c r="B6" s="105" t="s">
        <v>276</v>
      </c>
      <c r="C6" s="119">
        <v>173</v>
      </c>
      <c r="D6" s="139">
        <v>10.028985507246377</v>
      </c>
      <c r="E6" s="118" t="s">
        <v>723</v>
      </c>
      <c r="F6" s="105" t="s">
        <v>724</v>
      </c>
      <c r="I6" s="21"/>
    </row>
    <row r="7" spans="1:9" x14ac:dyDescent="0.25">
      <c r="A7" s="105" t="s">
        <v>710</v>
      </c>
      <c r="B7" s="133" t="s">
        <v>263</v>
      </c>
      <c r="C7" s="119">
        <v>70</v>
      </c>
      <c r="D7" s="139">
        <v>4.0579710144927539</v>
      </c>
      <c r="E7" s="118" t="s">
        <v>725</v>
      </c>
      <c r="F7" s="105" t="s">
        <v>726</v>
      </c>
      <c r="I7" s="21"/>
    </row>
    <row r="8" spans="1:9" x14ac:dyDescent="0.25">
      <c r="A8" s="105" t="s">
        <v>715</v>
      </c>
      <c r="B8" s="133" t="s">
        <v>242</v>
      </c>
      <c r="C8" s="119" t="s">
        <v>727</v>
      </c>
      <c r="D8" s="139">
        <v>4.0579710144927539</v>
      </c>
      <c r="E8" s="118" t="s">
        <v>728</v>
      </c>
      <c r="F8" s="105"/>
    </row>
    <row r="9" spans="1:9" x14ac:dyDescent="0.25">
      <c r="A9" s="105" t="s">
        <v>715</v>
      </c>
      <c r="B9" s="133" t="s">
        <v>280</v>
      </c>
      <c r="C9" s="119" t="s">
        <v>727</v>
      </c>
      <c r="D9" s="139">
        <v>4.0579710144927539</v>
      </c>
      <c r="E9" s="118" t="s">
        <v>729</v>
      </c>
      <c r="F9" s="105"/>
    </row>
    <row r="10" spans="1:9" x14ac:dyDescent="0.25">
      <c r="A10" s="105" t="s">
        <v>715</v>
      </c>
      <c r="B10" s="133" t="s">
        <v>251</v>
      </c>
      <c r="C10" s="119">
        <v>140</v>
      </c>
      <c r="D10" s="139">
        <v>8.1159420289855078</v>
      </c>
      <c r="E10" s="118" t="s">
        <v>730</v>
      </c>
      <c r="F10" s="105"/>
    </row>
    <row r="11" spans="1:9" x14ac:dyDescent="0.25">
      <c r="A11" s="105" t="s">
        <v>715</v>
      </c>
      <c r="B11" s="133" t="s">
        <v>279</v>
      </c>
      <c r="C11" s="119" t="s">
        <v>727</v>
      </c>
      <c r="D11" s="139">
        <v>4.0579710144927539</v>
      </c>
      <c r="E11" s="118" t="s">
        <v>731</v>
      </c>
      <c r="F11" s="105"/>
    </row>
    <row r="12" spans="1:9" x14ac:dyDescent="0.25">
      <c r="A12" s="105" t="s">
        <v>715</v>
      </c>
      <c r="B12" s="133" t="s">
        <v>253</v>
      </c>
      <c r="C12" s="119">
        <v>140</v>
      </c>
      <c r="D12" s="139">
        <v>8.1159420289855078</v>
      </c>
      <c r="E12" s="118" t="s">
        <v>732</v>
      </c>
      <c r="F12" s="105"/>
    </row>
    <row r="13" spans="1:9" x14ac:dyDescent="0.25">
      <c r="A13" s="105" t="s">
        <v>715</v>
      </c>
      <c r="B13" s="133" t="s">
        <v>287</v>
      </c>
      <c r="C13" s="119" t="s">
        <v>733</v>
      </c>
      <c r="D13" s="139">
        <v>2</v>
      </c>
      <c r="E13" s="118" t="s">
        <v>734</v>
      </c>
      <c r="F13" s="105"/>
    </row>
    <row r="14" spans="1:9" x14ac:dyDescent="0.25">
      <c r="A14" s="105" t="s">
        <v>710</v>
      </c>
      <c r="B14" s="133" t="s">
        <v>243</v>
      </c>
      <c r="C14" s="119" t="s">
        <v>735</v>
      </c>
      <c r="D14" s="139">
        <v>15.014492753623188</v>
      </c>
      <c r="E14" s="118" t="s">
        <v>736</v>
      </c>
      <c r="F14" s="105"/>
    </row>
    <row r="15" spans="1:9" x14ac:dyDescent="0.25">
      <c r="A15" s="105" t="s">
        <v>710</v>
      </c>
      <c r="B15" s="105" t="s">
        <v>290</v>
      </c>
      <c r="C15" s="119" t="s">
        <v>737</v>
      </c>
      <c r="D15" s="139">
        <v>40</v>
      </c>
      <c r="E15" s="118" t="s">
        <v>738</v>
      </c>
      <c r="F15" s="105"/>
    </row>
    <row r="16" spans="1:9" x14ac:dyDescent="0.25">
      <c r="A16" s="105" t="s">
        <v>710</v>
      </c>
      <c r="B16" s="105" t="s">
        <v>273</v>
      </c>
      <c r="C16" s="119" t="s">
        <v>739</v>
      </c>
      <c r="D16" s="139">
        <v>5.2173913043478262</v>
      </c>
      <c r="E16" s="118" t="s">
        <v>740</v>
      </c>
      <c r="F16" s="105"/>
    </row>
    <row r="17" spans="1:6" x14ac:dyDescent="0.25">
      <c r="A17" s="105" t="s">
        <v>715</v>
      </c>
      <c r="B17" s="134" t="s">
        <v>254</v>
      </c>
      <c r="C17" s="119" t="s">
        <v>735</v>
      </c>
      <c r="D17" s="139">
        <v>15.014492753623188</v>
      </c>
      <c r="E17" s="118" t="s">
        <v>740</v>
      </c>
      <c r="F17" s="105"/>
    </row>
    <row r="18" spans="1:6" x14ac:dyDescent="0.25">
      <c r="A18" s="105" t="s">
        <v>715</v>
      </c>
      <c r="B18" s="134" t="s">
        <v>277</v>
      </c>
      <c r="C18" s="119" t="s">
        <v>735</v>
      </c>
      <c r="D18" s="139">
        <v>15.014492753623188</v>
      </c>
      <c r="E18" s="118" t="s">
        <v>741</v>
      </c>
      <c r="F18" s="105"/>
    </row>
    <row r="19" spans="1:6" x14ac:dyDescent="0.25">
      <c r="A19" s="105" t="s">
        <v>715</v>
      </c>
      <c r="B19" s="134" t="s">
        <v>294</v>
      </c>
      <c r="C19" s="119">
        <v>86</v>
      </c>
      <c r="D19" s="139">
        <v>4.9855072463768115</v>
      </c>
      <c r="E19" s="118" t="s">
        <v>742</v>
      </c>
      <c r="F19" s="105"/>
    </row>
    <row r="20" spans="1:6" x14ac:dyDescent="0.25">
      <c r="A20" s="105" t="s">
        <v>715</v>
      </c>
      <c r="B20" s="134" t="s">
        <v>293</v>
      </c>
      <c r="C20" s="119" t="s">
        <v>743</v>
      </c>
      <c r="D20" s="139">
        <v>10.028985507246377</v>
      </c>
      <c r="E20" s="118" t="s">
        <v>744</v>
      </c>
      <c r="F20" s="105"/>
    </row>
    <row r="21" spans="1:6" x14ac:dyDescent="0.25">
      <c r="A21" s="105" t="s">
        <v>715</v>
      </c>
      <c r="B21" s="134" t="s">
        <v>258</v>
      </c>
      <c r="C21" s="119" t="s">
        <v>743</v>
      </c>
      <c r="D21" s="139">
        <v>10.028985507246377</v>
      </c>
      <c r="E21" s="118" t="s">
        <v>741</v>
      </c>
      <c r="F21" s="105"/>
    </row>
    <row r="22" spans="1:6" x14ac:dyDescent="0.25">
      <c r="A22" s="105" t="s">
        <v>719</v>
      </c>
      <c r="B22" s="105" t="s">
        <v>278</v>
      </c>
      <c r="C22" s="119" t="s">
        <v>745</v>
      </c>
      <c r="D22" s="139">
        <v>11.594202898550725</v>
      </c>
      <c r="E22" s="118" t="s">
        <v>746</v>
      </c>
      <c r="F22" s="105"/>
    </row>
    <row r="23" spans="1:6" x14ac:dyDescent="0.25">
      <c r="A23" s="105" t="s">
        <v>719</v>
      </c>
      <c r="B23" s="105" t="s">
        <v>292</v>
      </c>
      <c r="C23" s="119" t="s">
        <v>747</v>
      </c>
      <c r="D23" s="139">
        <v>6.0289855072463769</v>
      </c>
      <c r="E23" s="118" t="s">
        <v>748</v>
      </c>
      <c r="F23" s="105"/>
    </row>
    <row r="24" spans="1:6" x14ac:dyDescent="0.25">
      <c r="A24" s="105" t="s">
        <v>715</v>
      </c>
      <c r="B24" s="105" t="s">
        <v>261</v>
      </c>
      <c r="C24" s="119" t="s">
        <v>749</v>
      </c>
      <c r="D24" s="139">
        <v>4.63768115942029</v>
      </c>
      <c r="E24" s="118" t="s">
        <v>746</v>
      </c>
      <c r="F24" s="105"/>
    </row>
    <row r="25" spans="1:6" x14ac:dyDescent="0.25">
      <c r="A25" s="105" t="s">
        <v>715</v>
      </c>
      <c r="B25" s="105" t="s">
        <v>282</v>
      </c>
      <c r="C25" s="119" t="s">
        <v>750</v>
      </c>
      <c r="D25" s="139">
        <v>3.4782608695652173</v>
      </c>
      <c r="E25" s="118" t="s">
        <v>751</v>
      </c>
      <c r="F25" s="105"/>
    </row>
    <row r="26" spans="1:6" x14ac:dyDescent="0.25">
      <c r="A26" s="105" t="s">
        <v>715</v>
      </c>
      <c r="B26" s="105" t="s">
        <v>275</v>
      </c>
      <c r="C26" s="119" t="s">
        <v>749</v>
      </c>
      <c r="D26" s="139">
        <v>4.63768115942029</v>
      </c>
      <c r="E26" s="118" t="s">
        <v>752</v>
      </c>
      <c r="F26" s="105"/>
    </row>
    <row r="27" spans="1:6" x14ac:dyDescent="0.25">
      <c r="A27" s="105" t="s">
        <v>710</v>
      </c>
      <c r="B27" s="105" t="s">
        <v>274</v>
      </c>
      <c r="C27" s="119" t="s">
        <v>753</v>
      </c>
      <c r="D27" s="139">
        <v>2.2028985507246377</v>
      </c>
      <c r="E27" s="118" t="s">
        <v>742</v>
      </c>
      <c r="F27" s="105"/>
    </row>
    <row r="28" spans="1:6" x14ac:dyDescent="0.25">
      <c r="A28" s="105" t="s">
        <v>710</v>
      </c>
      <c r="B28" s="105" t="s">
        <v>284</v>
      </c>
      <c r="C28" s="119">
        <v>52</v>
      </c>
      <c r="D28" s="139">
        <v>3.0144927536231885</v>
      </c>
      <c r="E28" s="118" t="s">
        <v>754</v>
      </c>
      <c r="F28" s="105"/>
    </row>
    <row r="29" spans="1:6" x14ac:dyDescent="0.25">
      <c r="A29" s="105" t="s">
        <v>715</v>
      </c>
      <c r="B29" s="105" t="s">
        <v>248</v>
      </c>
      <c r="C29" s="119">
        <v>52</v>
      </c>
      <c r="D29" s="139">
        <v>3.0144927536231885</v>
      </c>
      <c r="E29" s="118" t="s">
        <v>755</v>
      </c>
      <c r="F29" s="105"/>
    </row>
    <row r="30" spans="1:6" x14ac:dyDescent="0.25">
      <c r="A30" s="105" t="s">
        <v>710</v>
      </c>
      <c r="B30" s="134" t="s">
        <v>249</v>
      </c>
      <c r="C30" s="119" t="s">
        <v>756</v>
      </c>
      <c r="D30" s="139">
        <v>1.1594202898550725</v>
      </c>
      <c r="E30" s="118" t="s">
        <v>741</v>
      </c>
      <c r="F30" s="105"/>
    </row>
    <row r="31" spans="1:6" x14ac:dyDescent="0.25">
      <c r="A31" s="105" t="s">
        <v>715</v>
      </c>
      <c r="B31" s="134" t="s">
        <v>244</v>
      </c>
      <c r="C31" s="119" t="s">
        <v>756</v>
      </c>
      <c r="D31" s="139">
        <v>1.1594202898550725</v>
      </c>
      <c r="E31" s="118" t="s">
        <v>740</v>
      </c>
      <c r="F31" s="105"/>
    </row>
    <row r="32" spans="1:6" x14ac:dyDescent="0.25">
      <c r="A32" s="105" t="s">
        <v>710</v>
      </c>
      <c r="B32" s="105" t="s">
        <v>271</v>
      </c>
      <c r="C32" s="119">
        <v>690</v>
      </c>
      <c r="D32" s="139">
        <v>40</v>
      </c>
      <c r="E32" s="118" t="s">
        <v>757</v>
      </c>
      <c r="F32" s="105"/>
    </row>
    <row r="33" spans="1:6" x14ac:dyDescent="0.25">
      <c r="A33" s="105" t="s">
        <v>719</v>
      </c>
      <c r="B33" s="105" t="s">
        <v>246</v>
      </c>
      <c r="C33" s="119">
        <v>259</v>
      </c>
      <c r="D33" s="139">
        <v>15.014492753623188</v>
      </c>
      <c r="E33" s="118" t="s">
        <v>758</v>
      </c>
      <c r="F33" s="105"/>
    </row>
    <row r="34" spans="1:6" ht="30" x14ac:dyDescent="0.25">
      <c r="A34" s="105" t="s">
        <v>715</v>
      </c>
      <c r="B34" s="133" t="s">
        <v>260</v>
      </c>
      <c r="C34" s="141" t="s">
        <v>759</v>
      </c>
      <c r="D34" s="142">
        <f>C34/17.25</f>
        <v>5</v>
      </c>
      <c r="E34" s="135" t="s">
        <v>760</v>
      </c>
      <c r="F34" s="105"/>
    </row>
    <row r="35" spans="1:6" x14ac:dyDescent="0.25">
      <c r="A35" s="105" t="s">
        <v>715</v>
      </c>
      <c r="B35" s="105" t="s">
        <v>247</v>
      </c>
      <c r="C35" s="119" t="s">
        <v>761</v>
      </c>
      <c r="D35" s="139">
        <v>1.6666666666666667</v>
      </c>
      <c r="E35" s="118" t="s">
        <v>762</v>
      </c>
      <c r="F35" s="105"/>
    </row>
    <row r="36" spans="1:6" x14ac:dyDescent="0.25">
      <c r="A36" s="105" t="s">
        <v>715</v>
      </c>
      <c r="B36" s="105" t="s">
        <v>264</v>
      </c>
      <c r="C36" s="119">
        <v>345</v>
      </c>
      <c r="D36" s="139">
        <v>20</v>
      </c>
      <c r="E36" s="118" t="s">
        <v>763</v>
      </c>
      <c r="F36" s="105"/>
    </row>
    <row r="37" spans="1:6" x14ac:dyDescent="0.25">
      <c r="A37" s="105" t="s">
        <v>715</v>
      </c>
      <c r="B37" s="133" t="s">
        <v>267</v>
      </c>
      <c r="C37" s="119">
        <v>86.25</v>
      </c>
      <c r="D37" s="139">
        <v>5</v>
      </c>
      <c r="E37" s="118" t="s">
        <v>764</v>
      </c>
      <c r="F37" s="105"/>
    </row>
    <row r="38" spans="1:6" x14ac:dyDescent="0.25">
      <c r="A38" s="105" t="s">
        <v>715</v>
      </c>
      <c r="B38" s="105" t="s">
        <v>259</v>
      </c>
      <c r="C38" s="119">
        <v>86.25</v>
      </c>
      <c r="D38" s="139">
        <v>5</v>
      </c>
      <c r="E38" s="118" t="s">
        <v>764</v>
      </c>
      <c r="F38" s="105"/>
    </row>
    <row r="39" spans="1:6" x14ac:dyDescent="0.25">
      <c r="A39" s="105" t="s">
        <v>715</v>
      </c>
      <c r="B39" s="105" t="s">
        <v>256</v>
      </c>
      <c r="C39" s="119">
        <v>115</v>
      </c>
      <c r="D39" s="139">
        <v>6.666666666666667</v>
      </c>
      <c r="E39" s="118" t="s">
        <v>764</v>
      </c>
      <c r="F39" s="105"/>
    </row>
    <row r="40" spans="1:6" x14ac:dyDescent="0.25">
      <c r="A40" s="105" t="s">
        <v>715</v>
      </c>
      <c r="B40" s="105" t="s">
        <v>289</v>
      </c>
      <c r="C40" s="119">
        <v>172.5</v>
      </c>
      <c r="D40" s="139">
        <v>10</v>
      </c>
      <c r="E40" s="118" t="s">
        <v>765</v>
      </c>
      <c r="F40" s="105"/>
    </row>
    <row r="41" spans="1:6" x14ac:dyDescent="0.25">
      <c r="A41" s="105" t="s">
        <v>710</v>
      </c>
      <c r="B41" s="105" t="s">
        <v>288</v>
      </c>
      <c r="C41" s="119">
        <v>172.5</v>
      </c>
      <c r="D41" s="139">
        <v>10</v>
      </c>
      <c r="E41" s="118" t="s">
        <v>766</v>
      </c>
      <c r="F41" s="105"/>
    </row>
    <row r="42" spans="1:6" ht="30" x14ac:dyDescent="0.25">
      <c r="A42" s="133" t="s">
        <v>710</v>
      </c>
      <c r="B42" s="133" t="s">
        <v>241</v>
      </c>
      <c r="C42" s="141" t="s">
        <v>767</v>
      </c>
      <c r="D42" s="142">
        <v>2.89</v>
      </c>
      <c r="E42" s="135" t="s">
        <v>768</v>
      </c>
      <c r="F42" s="133"/>
    </row>
    <row r="43" spans="1:6" x14ac:dyDescent="0.25">
      <c r="A43" s="105" t="s">
        <v>710</v>
      </c>
      <c r="B43" s="105" t="s">
        <v>769</v>
      </c>
      <c r="C43" s="119" t="s">
        <v>767</v>
      </c>
      <c r="D43" s="139">
        <v>2.8985507246376812</v>
      </c>
      <c r="E43" s="118" t="s">
        <v>770</v>
      </c>
      <c r="F43" s="105"/>
    </row>
    <row r="44" spans="1:6" x14ac:dyDescent="0.25">
      <c r="A44" s="105" t="s">
        <v>710</v>
      </c>
      <c r="B44" s="105" t="s">
        <v>771</v>
      </c>
      <c r="C44" s="119">
        <v>50</v>
      </c>
      <c r="D44" s="139">
        <v>2.8985507246376812</v>
      </c>
      <c r="E44" s="118" t="s">
        <v>772</v>
      </c>
      <c r="F44" s="105"/>
    </row>
    <row r="45" spans="1:6" x14ac:dyDescent="0.25">
      <c r="A45" s="105" t="s">
        <v>710</v>
      </c>
      <c r="B45" s="135" t="s">
        <v>769</v>
      </c>
      <c r="C45" s="119">
        <v>72.5</v>
      </c>
      <c r="D45" s="139">
        <v>4.2028985507246377</v>
      </c>
      <c r="E45" s="118" t="s">
        <v>773</v>
      </c>
      <c r="F45" s="105"/>
    </row>
    <row r="46" spans="1:6" x14ac:dyDescent="0.25">
      <c r="A46" s="105" t="s">
        <v>715</v>
      </c>
      <c r="B46" s="118" t="s">
        <v>255</v>
      </c>
      <c r="C46" s="119">
        <v>345</v>
      </c>
      <c r="D46" s="139">
        <v>20</v>
      </c>
      <c r="E46" s="118" t="s">
        <v>763</v>
      </c>
      <c r="F46" s="105"/>
    </row>
    <row r="47" spans="1:6" x14ac:dyDescent="0.25">
      <c r="A47" s="105" t="s">
        <v>710</v>
      </c>
      <c r="B47" s="118" t="s">
        <v>252</v>
      </c>
      <c r="C47" s="119">
        <v>176</v>
      </c>
      <c r="D47" s="139">
        <v>10.202898550724637</v>
      </c>
      <c r="E47" s="118" t="s">
        <v>763</v>
      </c>
      <c r="F47" s="105"/>
    </row>
    <row r="48" spans="1:6" x14ac:dyDescent="0.25">
      <c r="A48" s="105" t="s">
        <v>710</v>
      </c>
      <c r="B48" s="118" t="s">
        <v>266</v>
      </c>
      <c r="C48" s="119">
        <v>173</v>
      </c>
      <c r="D48" s="138">
        <v>10.028985507246377</v>
      </c>
      <c r="E48" s="118" t="s">
        <v>774</v>
      </c>
      <c r="F48" s="105"/>
    </row>
    <row r="49" spans="1:6" x14ac:dyDescent="0.25">
      <c r="A49" s="105" t="s">
        <v>719</v>
      </c>
      <c r="B49" s="118" t="s">
        <v>286</v>
      </c>
      <c r="C49" s="119">
        <v>86</v>
      </c>
      <c r="D49" s="138">
        <v>4.9855072463768115</v>
      </c>
      <c r="E49" s="118" t="s">
        <v>775</v>
      </c>
      <c r="F49" s="105"/>
    </row>
    <row r="50" spans="1:6" x14ac:dyDescent="0.25">
      <c r="A50" s="105" t="s">
        <v>719</v>
      </c>
      <c r="B50" s="118" t="s">
        <v>272</v>
      </c>
      <c r="C50" s="119" t="s">
        <v>743</v>
      </c>
      <c r="D50" s="138">
        <v>10.028985507246377</v>
      </c>
      <c r="E50" s="118" t="s">
        <v>738</v>
      </c>
      <c r="F50" s="105"/>
    </row>
    <row r="51" spans="1:6" x14ac:dyDescent="0.25">
      <c r="A51" s="105" t="s">
        <v>710</v>
      </c>
      <c r="B51" s="118" t="s">
        <v>257</v>
      </c>
      <c r="C51" s="119" t="s">
        <v>743</v>
      </c>
      <c r="D51" s="138">
        <v>10.028985507246377</v>
      </c>
      <c r="E51" s="118" t="s">
        <v>776</v>
      </c>
      <c r="F51" s="105"/>
    </row>
    <row r="52" spans="1:6" x14ac:dyDescent="0.25">
      <c r="A52" s="105" t="s">
        <v>710</v>
      </c>
      <c r="B52" s="118" t="s">
        <v>269</v>
      </c>
      <c r="C52" s="119" t="s">
        <v>743</v>
      </c>
      <c r="D52" s="138">
        <v>10.028985507246377</v>
      </c>
      <c r="E52" s="118" t="s">
        <v>777</v>
      </c>
      <c r="F52" s="105"/>
    </row>
    <row r="53" spans="1:6" x14ac:dyDescent="0.25">
      <c r="A53" s="105" t="s">
        <v>710</v>
      </c>
      <c r="B53" s="118" t="s">
        <v>245</v>
      </c>
      <c r="C53" s="119" t="s">
        <v>743</v>
      </c>
      <c r="D53" s="138">
        <v>10.028985507246377</v>
      </c>
      <c r="E53" s="118" t="s">
        <v>778</v>
      </c>
      <c r="F53" s="105"/>
    </row>
    <row r="54" spans="1:6" x14ac:dyDescent="0.25">
      <c r="A54" s="105" t="s">
        <v>710</v>
      </c>
      <c r="B54" s="118" t="s">
        <v>285</v>
      </c>
      <c r="C54" s="119" t="s">
        <v>756</v>
      </c>
      <c r="D54" s="138">
        <v>1.1594202898550725</v>
      </c>
      <c r="E54" s="118" t="s">
        <v>779</v>
      </c>
      <c r="F54" s="105"/>
    </row>
    <row r="55" spans="1:6" x14ac:dyDescent="0.25">
      <c r="A55" s="105" t="s">
        <v>715</v>
      </c>
      <c r="B55" s="136" t="s">
        <v>265</v>
      </c>
      <c r="C55" s="119" t="s">
        <v>780</v>
      </c>
      <c r="D55" s="138">
        <v>4.9855072463768115</v>
      </c>
      <c r="E55" s="118" t="s">
        <v>742</v>
      </c>
      <c r="F55" s="105"/>
    </row>
    <row r="56" spans="1:6" x14ac:dyDescent="0.25">
      <c r="A56" s="105" t="s">
        <v>715</v>
      </c>
      <c r="B56" s="136" t="s">
        <v>270</v>
      </c>
      <c r="C56" s="119" t="s">
        <v>780</v>
      </c>
      <c r="D56" s="138">
        <v>4.9855072463768115</v>
      </c>
      <c r="E56" s="118" t="s">
        <v>781</v>
      </c>
      <c r="F56" s="105"/>
    </row>
    <row r="57" spans="1:6" x14ac:dyDescent="0.25">
      <c r="A57" s="105" t="s">
        <v>715</v>
      </c>
      <c r="B57" s="136" t="s">
        <v>268</v>
      </c>
      <c r="C57" s="119" t="s">
        <v>780</v>
      </c>
      <c r="D57" s="138">
        <v>4.9855072463768115</v>
      </c>
      <c r="E57" s="118" t="s">
        <v>754</v>
      </c>
      <c r="F57" s="105"/>
    </row>
    <row r="58" spans="1:6" x14ac:dyDescent="0.25">
      <c r="A58" s="105" t="s">
        <v>715</v>
      </c>
      <c r="B58" s="136" t="s">
        <v>291</v>
      </c>
      <c r="C58" s="119" t="s">
        <v>780</v>
      </c>
      <c r="D58" s="138">
        <v>4.9855072463768115</v>
      </c>
      <c r="E58" s="118" t="s">
        <v>782</v>
      </c>
      <c r="F58" s="105"/>
    </row>
    <row r="59" spans="1:6" x14ac:dyDescent="0.25">
      <c r="A59" s="105" t="s">
        <v>715</v>
      </c>
      <c r="B59" s="118" t="s">
        <v>262</v>
      </c>
      <c r="C59" s="119" t="s">
        <v>780</v>
      </c>
      <c r="D59" s="138">
        <v>4.9855072463768115</v>
      </c>
      <c r="E59" s="118" t="s">
        <v>754</v>
      </c>
      <c r="F59" s="105"/>
    </row>
    <row r="60" spans="1:6" x14ac:dyDescent="0.25">
      <c r="A60" s="105"/>
      <c r="B60" s="133"/>
      <c r="C60" s="119"/>
      <c r="D60" s="139"/>
      <c r="E60" s="118"/>
      <c r="F60" s="105"/>
    </row>
    <row r="61" spans="1:6" ht="45" x14ac:dyDescent="0.25">
      <c r="A61" s="105"/>
      <c r="B61" s="137" t="s">
        <v>783</v>
      </c>
      <c r="C61" s="119"/>
      <c r="D61" s="118"/>
      <c r="E61" s="118"/>
      <c r="F61" s="105"/>
    </row>
  </sheetData>
  <sheetProtection sheet="1" objects="1" scenarios="1" formatCells="0" autoFilter="0" pivotTables="0"/>
  <phoneticPr fontId="5" type="noConversion"/>
  <conditionalFormatting sqref="A2:A61">
    <cfRule type="expression" dxfId="3" priority="14">
      <formula>$A2=$G$5</formula>
    </cfRule>
    <cfRule type="expression" dxfId="2" priority="15">
      <formula>$A2=$G$4</formula>
    </cfRule>
    <cfRule type="expression" dxfId="1" priority="16">
      <formula>$A2=$G$3</formula>
    </cfRule>
    <cfRule type="expression" dxfId="0" priority="17">
      <formula>$A2=$G$2</formula>
    </cfRule>
  </conditionalFormatting>
  <dataValidations count="1">
    <dataValidation type="list" allowBlank="1" showInputMessage="1" showErrorMessage="1" sqref="A2:A61" xr:uid="{EBB21E71-74C8-4CB3-9226-8AC637F76F3A}">
      <formula1>INDIRECT("Pillar")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F776A56434B840AB34BD5A04AD43EF" ma:contentTypeVersion="4" ma:contentTypeDescription="Create a new document." ma:contentTypeScope="" ma:versionID="744dfd250c40d81a2ca50c6c697ce7d6">
  <xsd:schema xmlns:xsd="http://www.w3.org/2001/XMLSchema" xmlns:xs="http://www.w3.org/2001/XMLSchema" xmlns:p="http://schemas.microsoft.com/office/2006/metadata/properties" xmlns:ns2="d76b7e97-f9a9-4568-bf2c-b4fb416be380" targetNamespace="http://schemas.microsoft.com/office/2006/metadata/properties" ma:root="true" ma:fieldsID="06edebf446f4e85e9012735f9c16b708" ns2:_="">
    <xsd:import namespace="d76b7e97-f9a9-4568-bf2c-b4fb416be3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6b7e97-f9a9-4568-bf2c-b4fb416be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CF82C2B-274D-41AE-92C5-C6FC1CAD3A4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67369EF-C926-49BB-A36A-5557D1A842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6b7e97-f9a9-4568-bf2c-b4fb416be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DDD0B15-072E-456A-9D4E-FD5E09E40C7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Report - Staff</vt:lpstr>
      <vt:lpstr>Report - Staff Member</vt:lpstr>
      <vt:lpstr>Report - Units</vt:lpstr>
      <vt:lpstr>Report - Enrolment</vt:lpstr>
      <vt:lpstr>Report - UWA</vt:lpstr>
      <vt:lpstr>Data Entry - Teaching</vt:lpstr>
      <vt:lpstr>Data Entry - HDR</vt:lpstr>
      <vt:lpstr>Data Entry - Assigned Role</vt:lpstr>
      <vt:lpstr>Source Information - Units</vt:lpstr>
      <vt:lpstr>Source Information - Staff</vt:lpstr>
      <vt:lpstr>Source Information - Roles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Regan Housley</dc:creator>
  <cp:keywords/>
  <dc:description/>
  <cp:lastModifiedBy>Daniela Roberts</cp:lastModifiedBy>
  <cp:revision/>
  <dcterms:created xsi:type="dcterms:W3CDTF">2015-06-05T18:17:20Z</dcterms:created>
  <dcterms:modified xsi:type="dcterms:W3CDTF">2026-03-12T00:10:53Z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0x0101007AF776A56434B840AB34BD5A04AD43EF</vt:lpwstr>
  </property>
  <property fmtid="{D5CDD505-2E9C-101B-9397-08002B2CF9AE}" pid="3" name="xd_ProgID">
    <vt:lpwstr/>
  </property>
  <property fmtid="{D5CDD505-2E9C-101B-9397-08002B2CF9AE}" pid="4" name="ComplianceAssetId">
    <vt:lpwstr/>
  </property>
  <property fmtid="{D5CDD505-2E9C-101B-9397-08002B2CF9AE}" pid="5" name="TemplateUrl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xd_Signature">
    <vt:bool>false</vt:bool>
  </property>
</Properties>
</file>